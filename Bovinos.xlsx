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g\OneDrive\Escritorio\Archivos\Consultora Ledesma\bco de datos reales\"/>
    </mc:Choice>
  </mc:AlternateContent>
  <xr:revisionPtr revIDLastSave="0" documentId="13_ncr:1_{924C946F-637D-46A1-B953-96B0DBFE4F62}" xr6:coauthVersionLast="47" xr6:coauthVersionMax="47" xr10:uidLastSave="{00000000-0000-0000-0000-000000000000}"/>
  <bookViews>
    <workbookView minimized="1" xWindow="23370" yWindow="11670" windowWidth="7500" windowHeight="6000" activeTab="2" xr2:uid="{F9EC2D54-6B20-4569-96E2-4AC7E2313A07}"/>
  </bookViews>
  <sheets>
    <sheet name="Gráfico1 (2)" sheetId="4" r:id="rId1"/>
    <sheet name="Gráfico1" sheetId="2" r:id="rId2"/>
    <sheet name="Hoja1" sheetId="1" r:id="rId3"/>
    <sheet name="Hoja6" sheetId="8" r:id="rId4"/>
    <sheet name="Hoja5" sheetId="7" r:id="rId5"/>
    <sheet name="Hoja4" sheetId="6" r:id="rId6"/>
    <sheet name="Hoja3" sheetId="5" r:id="rId7"/>
    <sheet name="Hoja2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2" i="1" l="1"/>
  <c r="C342" i="1"/>
  <c r="I341" i="1"/>
  <c r="J341" i="1"/>
  <c r="E341" i="1"/>
  <c r="F341" i="1"/>
  <c r="I340" i="1"/>
  <c r="E340" i="1"/>
  <c r="F340" i="1"/>
  <c r="J340" i="1" s="1"/>
  <c r="F339" i="1"/>
  <c r="I339" i="1"/>
  <c r="E339" i="1"/>
  <c r="I338" i="1"/>
  <c r="F338" i="1"/>
  <c r="E338" i="1"/>
  <c r="J339" i="1" l="1"/>
  <c r="E337" i="1"/>
  <c r="I337" i="1" s="1"/>
  <c r="F337" i="1"/>
  <c r="J338" i="1" s="1"/>
  <c r="I336" i="1"/>
  <c r="F336" i="1"/>
  <c r="E336" i="1"/>
  <c r="I335" i="1"/>
  <c r="E327" i="1"/>
  <c r="F327" i="1"/>
  <c r="E328" i="1"/>
  <c r="F328" i="1"/>
  <c r="E329" i="1"/>
  <c r="F329" i="1"/>
  <c r="E330" i="1"/>
  <c r="F330" i="1"/>
  <c r="E331" i="1"/>
  <c r="I331" i="1" s="1"/>
  <c r="F331" i="1"/>
  <c r="E332" i="1"/>
  <c r="I332" i="1" s="1"/>
  <c r="F332" i="1"/>
  <c r="E333" i="1"/>
  <c r="F333" i="1"/>
  <c r="E334" i="1"/>
  <c r="F334" i="1"/>
  <c r="E335" i="1"/>
  <c r="F335" i="1"/>
  <c r="I334" i="1"/>
  <c r="I333" i="1"/>
  <c r="I330" i="1"/>
  <c r="J336" i="1" l="1"/>
  <c r="J337" i="1"/>
  <c r="J331" i="1"/>
  <c r="J334" i="1"/>
  <c r="J333" i="1"/>
  <c r="J335" i="1"/>
  <c r="J332" i="1"/>
  <c r="I329" i="1"/>
  <c r="I328" i="1"/>
  <c r="I326" i="1"/>
  <c r="E326" i="1"/>
  <c r="F326" i="1"/>
  <c r="I327" i="1"/>
  <c r="F325" i="1"/>
  <c r="E325" i="1"/>
  <c r="I325" i="1" s="1"/>
  <c r="E324" i="1"/>
  <c r="I324" i="1" s="1"/>
  <c r="F324" i="1"/>
  <c r="F323" i="1"/>
  <c r="E323" i="1"/>
  <c r="I323" i="1" s="1"/>
  <c r="J327" i="1" l="1"/>
  <c r="J326" i="1"/>
  <c r="J329" i="1"/>
  <c r="J330" i="1"/>
  <c r="J328" i="1"/>
  <c r="J324" i="1"/>
  <c r="J325" i="1"/>
  <c r="E322" i="1"/>
  <c r="I322" i="1" s="1"/>
  <c r="F322" i="1"/>
  <c r="J323" i="1" s="1"/>
  <c r="E321" i="1"/>
  <c r="I321" i="1" s="1"/>
  <c r="F321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E319" i="1"/>
  <c r="I319" i="1" s="1"/>
  <c r="E320" i="1"/>
  <c r="I320" i="1" s="1"/>
  <c r="I286" i="1"/>
  <c r="E265" i="1"/>
  <c r="E266" i="1"/>
  <c r="E267" i="1"/>
  <c r="E268" i="1"/>
  <c r="E269" i="1"/>
  <c r="E270" i="1"/>
  <c r="E271" i="1"/>
  <c r="I283" i="1" s="1"/>
  <c r="E272" i="1"/>
  <c r="I284" i="1" s="1"/>
  <c r="E273" i="1"/>
  <c r="E274" i="1"/>
  <c r="E275" i="1"/>
  <c r="E276" i="1"/>
  <c r="E277" i="1"/>
  <c r="E278" i="1"/>
  <c r="E279" i="1"/>
  <c r="I279" i="1" s="1"/>
  <c r="E280" i="1"/>
  <c r="I280" i="1" s="1"/>
  <c r="E281" i="1"/>
  <c r="E282" i="1"/>
  <c r="E283" i="1"/>
  <c r="E284" i="1"/>
  <c r="E285" i="1"/>
  <c r="E286" i="1"/>
  <c r="E287" i="1"/>
  <c r="I287" i="1" s="1"/>
  <c r="E288" i="1"/>
  <c r="I288" i="1" s="1"/>
  <c r="E289" i="1"/>
  <c r="E290" i="1"/>
  <c r="E291" i="1"/>
  <c r="E292" i="1"/>
  <c r="E293" i="1"/>
  <c r="E294" i="1"/>
  <c r="E295" i="1"/>
  <c r="I295" i="1" s="1"/>
  <c r="E296" i="1"/>
  <c r="I296" i="1" s="1"/>
  <c r="E297" i="1"/>
  <c r="E298" i="1"/>
  <c r="E299" i="1"/>
  <c r="E300" i="1"/>
  <c r="E301" i="1"/>
  <c r="E302" i="1"/>
  <c r="E303" i="1"/>
  <c r="I303" i="1" s="1"/>
  <c r="E304" i="1"/>
  <c r="I304" i="1" s="1"/>
  <c r="E305" i="1"/>
  <c r="E306" i="1"/>
  <c r="E307" i="1"/>
  <c r="E308" i="1"/>
  <c r="E309" i="1"/>
  <c r="I309" i="1" s="1"/>
  <c r="E310" i="1"/>
  <c r="E311" i="1"/>
  <c r="I311" i="1" s="1"/>
  <c r="E312" i="1"/>
  <c r="I312" i="1" s="1"/>
  <c r="E313" i="1"/>
  <c r="E314" i="1"/>
  <c r="E315" i="1"/>
  <c r="E316" i="1"/>
  <c r="E317" i="1"/>
  <c r="E318" i="1"/>
  <c r="J265" i="1"/>
  <c r="J266" i="1"/>
  <c r="J267" i="1"/>
  <c r="J268" i="1"/>
  <c r="J269" i="1"/>
  <c r="J270" i="1"/>
  <c r="J271" i="1"/>
  <c r="J272" i="1"/>
  <c r="J273" i="1"/>
  <c r="J274" i="1"/>
  <c r="J320" i="1" l="1"/>
  <c r="J314" i="1"/>
  <c r="J315" i="1"/>
  <c r="J317" i="1"/>
  <c r="K269" i="1"/>
  <c r="J318" i="1"/>
  <c r="L269" i="1"/>
  <c r="K270" i="1"/>
  <c r="L267" i="1"/>
  <c r="J321" i="1"/>
  <c r="J322" i="1"/>
  <c r="J319" i="1"/>
  <c r="J316" i="1"/>
  <c r="J313" i="1"/>
  <c r="I318" i="1"/>
  <c r="I317" i="1"/>
  <c r="K271" i="1"/>
  <c r="L273" i="1"/>
  <c r="I314" i="1"/>
  <c r="I278" i="1"/>
  <c r="L268" i="1"/>
  <c r="I313" i="1"/>
  <c r="I305" i="1"/>
  <c r="I297" i="1"/>
  <c r="I277" i="1"/>
  <c r="I281" i="1"/>
  <c r="I302" i="1"/>
  <c r="I306" i="1"/>
  <c r="I282" i="1"/>
  <c r="K268" i="1"/>
  <c r="I301" i="1"/>
  <c r="K267" i="1"/>
  <c r="I310" i="1"/>
  <c r="I298" i="1"/>
  <c r="I294" i="1"/>
  <c r="I293" i="1"/>
  <c r="I285" i="1"/>
  <c r="I316" i="1"/>
  <c r="I308" i="1"/>
  <c r="I300" i="1"/>
  <c r="I292" i="1"/>
  <c r="I315" i="1"/>
  <c r="I307" i="1"/>
  <c r="I299" i="1"/>
  <c r="I291" i="1"/>
  <c r="I290" i="1"/>
  <c r="I289" i="1"/>
  <c r="L270" i="1"/>
  <c r="K272" i="1"/>
  <c r="L272" i="1"/>
  <c r="L271" i="1"/>
  <c r="K274" i="1"/>
  <c r="K273" i="1"/>
  <c r="L274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E256" i="1" l="1"/>
  <c r="E257" i="1"/>
  <c r="E258" i="1"/>
  <c r="E259" i="1"/>
  <c r="K259" i="1"/>
  <c r="E260" i="1"/>
  <c r="E261" i="1"/>
  <c r="E262" i="1"/>
  <c r="E263" i="1"/>
  <c r="I275" i="1" s="1"/>
  <c r="E264" i="1"/>
  <c r="I276" i="1" s="1"/>
  <c r="K258" i="1" l="1"/>
  <c r="K260" i="1"/>
  <c r="K262" i="1"/>
  <c r="K266" i="1"/>
  <c r="L266" i="1"/>
  <c r="K265" i="1"/>
  <c r="L265" i="1"/>
  <c r="K263" i="1"/>
  <c r="K257" i="1"/>
  <c r="K261" i="1"/>
  <c r="K264" i="1"/>
  <c r="I272" i="1"/>
  <c r="I270" i="1"/>
  <c r="I269" i="1"/>
  <c r="I268" i="1"/>
  <c r="I274" i="1"/>
  <c r="I273" i="1"/>
  <c r="I271" i="1"/>
  <c r="E255" i="1"/>
  <c r="I267" i="1" s="1"/>
  <c r="K256" i="1" l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E254" i="1" l="1"/>
  <c r="I266" i="1" s="1"/>
  <c r="K255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I169" i="1" s="1"/>
  <c r="E170" i="1"/>
  <c r="E171" i="1"/>
  <c r="E172" i="1"/>
  <c r="E173" i="1"/>
  <c r="E174" i="1"/>
  <c r="E175" i="1"/>
  <c r="E176" i="1"/>
  <c r="E177" i="1"/>
  <c r="I177" i="1" s="1"/>
  <c r="E178" i="1"/>
  <c r="E179" i="1"/>
  <c r="E180" i="1"/>
  <c r="E181" i="1"/>
  <c r="E182" i="1"/>
  <c r="E183" i="1"/>
  <c r="E184" i="1"/>
  <c r="E185" i="1"/>
  <c r="I185" i="1" s="1"/>
  <c r="E186" i="1"/>
  <c r="E187" i="1"/>
  <c r="E188" i="1"/>
  <c r="E189" i="1"/>
  <c r="E190" i="1"/>
  <c r="E191" i="1"/>
  <c r="E192" i="1"/>
  <c r="E193" i="1"/>
  <c r="I193" i="1" s="1"/>
  <c r="E194" i="1"/>
  <c r="E195" i="1"/>
  <c r="E196" i="1"/>
  <c r="E197" i="1"/>
  <c r="E198" i="1"/>
  <c r="E199" i="1"/>
  <c r="E200" i="1"/>
  <c r="E201" i="1"/>
  <c r="I201" i="1" s="1"/>
  <c r="E202" i="1"/>
  <c r="E203" i="1"/>
  <c r="E204" i="1"/>
  <c r="E205" i="1"/>
  <c r="E206" i="1"/>
  <c r="E207" i="1"/>
  <c r="E208" i="1"/>
  <c r="E209" i="1"/>
  <c r="I209" i="1" s="1"/>
  <c r="E210" i="1"/>
  <c r="E211" i="1"/>
  <c r="E212" i="1"/>
  <c r="E213" i="1"/>
  <c r="E214" i="1"/>
  <c r="E215" i="1"/>
  <c r="E216" i="1"/>
  <c r="E217" i="1"/>
  <c r="I217" i="1" s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I256" i="1" s="1"/>
  <c r="E245" i="1"/>
  <c r="I257" i="1" s="1"/>
  <c r="E246" i="1"/>
  <c r="I258" i="1" s="1"/>
  <c r="E247" i="1"/>
  <c r="I259" i="1" s="1"/>
  <c r="E248" i="1"/>
  <c r="I260" i="1" s="1"/>
  <c r="E249" i="1"/>
  <c r="I261" i="1" s="1"/>
  <c r="E250" i="1"/>
  <c r="I262" i="1" s="1"/>
  <c r="E251" i="1"/>
  <c r="I263" i="1" s="1"/>
  <c r="E252" i="1"/>
  <c r="I264" i="1" s="1"/>
  <c r="E253" i="1"/>
  <c r="I265" i="1" s="1"/>
  <c r="F225" i="1"/>
  <c r="F66" i="1"/>
  <c r="F58" i="1"/>
  <c r="F50" i="1"/>
  <c r="F42" i="1"/>
  <c r="F35" i="1"/>
  <c r="F34" i="1"/>
  <c r="F27" i="1"/>
  <c r="F26" i="1"/>
  <c r="F22" i="1"/>
  <c r="F19" i="1"/>
  <c r="F18" i="1"/>
  <c r="F14" i="1"/>
  <c r="F11" i="1"/>
  <c r="F10" i="1"/>
  <c r="F6" i="1"/>
  <c r="F3" i="1"/>
  <c r="F2" i="1"/>
  <c r="I233" i="1" l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59" i="1"/>
  <c r="I51" i="1"/>
  <c r="I43" i="1"/>
  <c r="I35" i="1"/>
  <c r="I27" i="1"/>
  <c r="I19" i="1"/>
  <c r="I15" i="1"/>
  <c r="I246" i="1"/>
  <c r="I224" i="1"/>
  <c r="I232" i="1"/>
  <c r="I79" i="1"/>
  <c r="I55" i="1"/>
  <c r="I31" i="1"/>
  <c r="I63" i="1"/>
  <c r="I71" i="1"/>
  <c r="I47" i="1"/>
  <c r="I23" i="1"/>
  <c r="I39" i="1"/>
  <c r="I253" i="1"/>
  <c r="I245" i="1"/>
  <c r="I238" i="1"/>
  <c r="I230" i="1"/>
  <c r="I223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119" i="1"/>
  <c r="I95" i="1"/>
  <c r="I87" i="1"/>
  <c r="I231" i="1"/>
  <c r="I135" i="1"/>
  <c r="I111" i="1"/>
  <c r="I251" i="1"/>
  <c r="I236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127" i="1"/>
  <c r="I103" i="1"/>
  <c r="I227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67" i="1"/>
  <c r="I252" i="1"/>
  <c r="I244" i="1"/>
  <c r="I237" i="1"/>
  <c r="I229" i="1"/>
  <c r="I215" i="1"/>
  <c r="I207" i="1"/>
  <c r="I199" i="1"/>
  <c r="I191" i="1"/>
  <c r="I183" i="1"/>
  <c r="I175" i="1"/>
  <c r="I167" i="1"/>
  <c r="I159" i="1"/>
  <c r="I151" i="1"/>
  <c r="I143" i="1"/>
  <c r="I228" i="1"/>
  <c r="I242" i="1"/>
  <c r="I255" i="1"/>
  <c r="I243" i="1"/>
  <c r="I250" i="1"/>
  <c r="I235" i="1"/>
  <c r="I249" i="1"/>
  <c r="I241" i="1"/>
  <c r="I234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248" i="1"/>
  <c r="I240" i="1"/>
  <c r="I226" i="1"/>
  <c r="I247" i="1"/>
  <c r="I239" i="1"/>
  <c r="I225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254" i="1"/>
  <c r="K27" i="1"/>
  <c r="K35" i="1"/>
  <c r="K19" i="1"/>
  <c r="F30" i="1"/>
  <c r="F38" i="1"/>
  <c r="F46" i="1"/>
  <c r="F54" i="1"/>
  <c r="F62" i="1"/>
  <c r="F70" i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33" i="1"/>
  <c r="F209" i="1"/>
  <c r="F181" i="1"/>
  <c r="F53" i="1"/>
  <c r="F221" i="1"/>
  <c r="F201" i="1"/>
  <c r="F149" i="1"/>
  <c r="F21" i="1"/>
  <c r="K22" i="1" s="1"/>
  <c r="F1" i="1"/>
  <c r="F9" i="1"/>
  <c r="F237" i="1"/>
  <c r="F74" i="1"/>
  <c r="F81" i="1"/>
  <c r="F89" i="1"/>
  <c r="F17" i="1"/>
  <c r="K18" i="1" s="1"/>
  <c r="F25" i="1"/>
  <c r="F177" i="1"/>
  <c r="F33" i="1"/>
  <c r="F41" i="1"/>
  <c r="F49" i="1"/>
  <c r="F57" i="1"/>
  <c r="K58" i="1" s="1"/>
  <c r="F65" i="1"/>
  <c r="F73" i="1"/>
  <c r="F97" i="1"/>
  <c r="F105" i="1"/>
  <c r="F113" i="1"/>
  <c r="F121" i="1"/>
  <c r="F129" i="1"/>
  <c r="F137" i="1"/>
  <c r="F145" i="1"/>
  <c r="F153" i="1"/>
  <c r="F161" i="1"/>
  <c r="F169" i="1"/>
  <c r="F185" i="1"/>
  <c r="F193" i="1"/>
  <c r="F29" i="1"/>
  <c r="F61" i="1"/>
  <c r="F93" i="1"/>
  <c r="F125" i="1"/>
  <c r="F157" i="1"/>
  <c r="F189" i="1"/>
  <c r="F101" i="1"/>
  <c r="F197" i="1"/>
  <c r="F213" i="1"/>
  <c r="F229" i="1"/>
  <c r="F5" i="1"/>
  <c r="F37" i="1"/>
  <c r="F69" i="1"/>
  <c r="F133" i="1"/>
  <c r="F165" i="1"/>
  <c r="F13" i="1"/>
  <c r="F45" i="1"/>
  <c r="F77" i="1"/>
  <c r="F109" i="1"/>
  <c r="F141" i="1"/>
  <c r="F173" i="1"/>
  <c r="F205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117" i="1"/>
  <c r="F51" i="1"/>
  <c r="F67" i="1"/>
  <c r="F83" i="1"/>
  <c r="F99" i="1"/>
  <c r="F115" i="1"/>
  <c r="F131" i="1"/>
  <c r="F147" i="1"/>
  <c r="F163" i="1"/>
  <c r="F179" i="1"/>
  <c r="F195" i="1"/>
  <c r="F211" i="1"/>
  <c r="F227" i="1"/>
  <c r="F43" i="1"/>
  <c r="F59" i="1"/>
  <c r="F75" i="1"/>
  <c r="F91" i="1"/>
  <c r="F107" i="1"/>
  <c r="F123" i="1"/>
  <c r="F139" i="1"/>
  <c r="F155" i="1"/>
  <c r="F171" i="1"/>
  <c r="F187" i="1"/>
  <c r="F203" i="1"/>
  <c r="F219" i="1"/>
  <c r="F235" i="1"/>
  <c r="F217" i="1"/>
  <c r="F85" i="1"/>
  <c r="F4" i="1"/>
  <c r="F12" i="1"/>
  <c r="L14" i="1" s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7" i="1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8" i="1"/>
  <c r="F16" i="1"/>
  <c r="F24" i="1"/>
  <c r="L35" i="1" s="1"/>
  <c r="F32" i="1"/>
  <c r="F40" i="1"/>
  <c r="F48" i="1"/>
  <c r="L50" i="1" s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L225" i="1" s="1"/>
  <c r="F224" i="1"/>
  <c r="K225" i="1" s="1"/>
  <c r="F232" i="1"/>
  <c r="F240" i="1"/>
  <c r="L262" i="1" l="1"/>
  <c r="L259" i="1"/>
  <c r="L260" i="1"/>
  <c r="L257" i="1"/>
  <c r="L263" i="1"/>
  <c r="L264" i="1"/>
  <c r="L256" i="1"/>
  <c r="L258" i="1"/>
  <c r="L261" i="1"/>
  <c r="L255" i="1"/>
  <c r="L254" i="1"/>
  <c r="L253" i="1"/>
  <c r="L27" i="1"/>
  <c r="L22" i="1"/>
  <c r="L19" i="1"/>
  <c r="L18" i="1"/>
  <c r="L40" i="1"/>
  <c r="K40" i="1"/>
  <c r="K87" i="1"/>
  <c r="L87" i="1"/>
  <c r="L60" i="1"/>
  <c r="K60" i="1"/>
  <c r="L59" i="1"/>
  <c r="K59" i="1"/>
  <c r="L218" i="1"/>
  <c r="K218" i="1"/>
  <c r="K29" i="1"/>
  <c r="L29" i="1"/>
  <c r="L209" i="1"/>
  <c r="K209" i="1"/>
  <c r="K32" i="1"/>
  <c r="L32" i="1"/>
  <c r="K79" i="1"/>
  <c r="L79" i="1"/>
  <c r="K52" i="1"/>
  <c r="L52" i="1"/>
  <c r="L210" i="1"/>
  <c r="K210" i="1"/>
  <c r="L165" i="1"/>
  <c r="K165" i="1"/>
  <c r="L237" i="1"/>
  <c r="K237" i="1"/>
  <c r="L190" i="1"/>
  <c r="K190" i="1"/>
  <c r="L152" i="1"/>
  <c r="K152" i="1"/>
  <c r="L199" i="1"/>
  <c r="K199" i="1"/>
  <c r="L236" i="1"/>
  <c r="K236" i="1"/>
  <c r="K44" i="1"/>
  <c r="L44" i="1"/>
  <c r="K147" i="1"/>
  <c r="L147" i="1"/>
  <c r="L138" i="1"/>
  <c r="K138" i="1"/>
  <c r="K101" i="1"/>
  <c r="L101" i="1"/>
  <c r="L185" i="1"/>
  <c r="K185" i="1"/>
  <c r="K33" i="1"/>
  <c r="L33" i="1"/>
  <c r="L182" i="1"/>
  <c r="K182" i="1"/>
  <c r="L208" i="1"/>
  <c r="K208" i="1"/>
  <c r="L144" i="1"/>
  <c r="K144" i="1"/>
  <c r="L80" i="1"/>
  <c r="K80" i="1"/>
  <c r="K16" i="1"/>
  <c r="L16" i="1"/>
  <c r="L191" i="1"/>
  <c r="K191" i="1"/>
  <c r="L127" i="1"/>
  <c r="K127" i="1"/>
  <c r="K63" i="1"/>
  <c r="L63" i="1"/>
  <c r="L228" i="1"/>
  <c r="K228" i="1"/>
  <c r="L164" i="1"/>
  <c r="K164" i="1"/>
  <c r="K100" i="1"/>
  <c r="L100" i="1"/>
  <c r="L36" i="1"/>
  <c r="K36" i="1"/>
  <c r="K139" i="1"/>
  <c r="L139" i="1"/>
  <c r="K253" i="1"/>
  <c r="K254" i="1"/>
  <c r="K131" i="1"/>
  <c r="L131" i="1"/>
  <c r="L194" i="1"/>
  <c r="K194" i="1"/>
  <c r="L130" i="1"/>
  <c r="K130" i="1"/>
  <c r="L173" i="1"/>
  <c r="K173" i="1"/>
  <c r="L69" i="1"/>
  <c r="K69" i="1"/>
  <c r="L189" i="1"/>
  <c r="K189" i="1"/>
  <c r="L169" i="1"/>
  <c r="K169" i="1"/>
  <c r="K105" i="1"/>
  <c r="L105" i="1"/>
  <c r="L177" i="1"/>
  <c r="K177" i="1"/>
  <c r="L249" i="1"/>
  <c r="K249" i="1"/>
  <c r="L238" i="1"/>
  <c r="K238" i="1"/>
  <c r="L174" i="1"/>
  <c r="K174" i="1"/>
  <c r="K110" i="1"/>
  <c r="L110" i="1"/>
  <c r="K46" i="1"/>
  <c r="L46" i="1"/>
  <c r="L215" i="1"/>
  <c r="K215" i="1"/>
  <c r="L188" i="1"/>
  <c r="K188" i="1"/>
  <c r="K179" i="1"/>
  <c r="L179" i="1"/>
  <c r="K13" i="1"/>
  <c r="L13" i="1"/>
  <c r="L49" i="1"/>
  <c r="K49" i="1"/>
  <c r="L160" i="1"/>
  <c r="K160" i="1"/>
  <c r="L244" i="1"/>
  <c r="K244" i="1"/>
  <c r="K171" i="1"/>
  <c r="L171" i="1"/>
  <c r="L197" i="1"/>
  <c r="K197" i="1"/>
  <c r="L201" i="1"/>
  <c r="K201" i="1"/>
  <c r="K24" i="1"/>
  <c r="L24" i="1"/>
  <c r="L217" i="1"/>
  <c r="K217" i="1"/>
  <c r="L202" i="1"/>
  <c r="K202" i="1"/>
  <c r="L246" i="1"/>
  <c r="K246" i="1"/>
  <c r="L183" i="1"/>
  <c r="K183" i="1"/>
  <c r="L119" i="1"/>
  <c r="K119" i="1"/>
  <c r="L55" i="1"/>
  <c r="K55" i="1"/>
  <c r="L220" i="1"/>
  <c r="K220" i="1"/>
  <c r="L156" i="1"/>
  <c r="K156" i="1"/>
  <c r="L92" i="1"/>
  <c r="K92" i="1"/>
  <c r="K28" i="1"/>
  <c r="L28" i="1"/>
  <c r="K251" i="1"/>
  <c r="L251" i="1"/>
  <c r="L123" i="1"/>
  <c r="K123" i="1"/>
  <c r="K243" i="1"/>
  <c r="L243" i="1"/>
  <c r="L115" i="1"/>
  <c r="K115" i="1"/>
  <c r="L250" i="1"/>
  <c r="K250" i="1"/>
  <c r="L186" i="1"/>
  <c r="K186" i="1"/>
  <c r="K122" i="1"/>
  <c r="L122" i="1"/>
  <c r="L141" i="1"/>
  <c r="K141" i="1"/>
  <c r="K37" i="1"/>
  <c r="L37" i="1"/>
  <c r="L157" i="1"/>
  <c r="K157" i="1"/>
  <c r="L161" i="1"/>
  <c r="K161" i="1"/>
  <c r="L97" i="1"/>
  <c r="K97" i="1"/>
  <c r="K25" i="1"/>
  <c r="L25" i="1"/>
  <c r="L221" i="1"/>
  <c r="K221" i="1"/>
  <c r="L230" i="1"/>
  <c r="K230" i="1"/>
  <c r="L166" i="1"/>
  <c r="K166" i="1"/>
  <c r="K102" i="1"/>
  <c r="L102" i="1"/>
  <c r="K38" i="1"/>
  <c r="L38" i="1"/>
  <c r="L34" i="1"/>
  <c r="L168" i="1"/>
  <c r="K168" i="1"/>
  <c r="L154" i="1"/>
  <c r="K154" i="1"/>
  <c r="L134" i="1"/>
  <c r="K134" i="1"/>
  <c r="L224" i="1"/>
  <c r="K224" i="1"/>
  <c r="K15" i="1"/>
  <c r="L15" i="1"/>
  <c r="L193" i="1"/>
  <c r="K193" i="1"/>
  <c r="L62" i="1"/>
  <c r="K62" i="1"/>
  <c r="L135" i="1"/>
  <c r="K135" i="1"/>
  <c r="K155" i="1"/>
  <c r="L155" i="1"/>
  <c r="L133" i="1"/>
  <c r="K133" i="1"/>
  <c r="L200" i="1"/>
  <c r="K200" i="1"/>
  <c r="K64" i="1"/>
  <c r="L64" i="1"/>
  <c r="K47" i="1"/>
  <c r="L47" i="1"/>
  <c r="L148" i="1"/>
  <c r="K148" i="1"/>
  <c r="K235" i="1"/>
  <c r="L235" i="1"/>
  <c r="L107" i="1"/>
  <c r="K107" i="1"/>
  <c r="K227" i="1"/>
  <c r="L227" i="1"/>
  <c r="L99" i="1"/>
  <c r="K99" i="1"/>
  <c r="L242" i="1"/>
  <c r="K242" i="1"/>
  <c r="L178" i="1"/>
  <c r="K178" i="1"/>
  <c r="K114" i="1"/>
  <c r="L114" i="1"/>
  <c r="L109" i="1"/>
  <c r="K109" i="1"/>
  <c r="L125" i="1"/>
  <c r="K125" i="1"/>
  <c r="L153" i="1"/>
  <c r="K153" i="1"/>
  <c r="L73" i="1"/>
  <c r="K73" i="1"/>
  <c r="K17" i="1"/>
  <c r="L17" i="1"/>
  <c r="K21" i="1"/>
  <c r="L21" i="1"/>
  <c r="L53" i="1"/>
  <c r="K53" i="1"/>
  <c r="L222" i="1"/>
  <c r="K222" i="1"/>
  <c r="L158" i="1"/>
  <c r="K158" i="1"/>
  <c r="L94" i="1"/>
  <c r="K94" i="1"/>
  <c r="K30" i="1"/>
  <c r="L30" i="1"/>
  <c r="K14" i="1"/>
  <c r="K34" i="1"/>
  <c r="L232" i="1"/>
  <c r="K232" i="1"/>
  <c r="L151" i="1"/>
  <c r="K151" i="1"/>
  <c r="L252" i="1"/>
  <c r="K252" i="1"/>
  <c r="K187" i="1"/>
  <c r="L187" i="1"/>
  <c r="L90" i="1"/>
  <c r="K90" i="1"/>
  <c r="K129" i="1"/>
  <c r="L129" i="1"/>
  <c r="L70" i="1"/>
  <c r="K70" i="1"/>
  <c r="L207" i="1"/>
  <c r="K207" i="1"/>
  <c r="L180" i="1"/>
  <c r="K180" i="1"/>
  <c r="L43" i="1"/>
  <c r="K43" i="1"/>
  <c r="L146" i="1"/>
  <c r="K146" i="1"/>
  <c r="K121" i="1"/>
  <c r="L121" i="1"/>
  <c r="L126" i="1"/>
  <c r="K126" i="1"/>
  <c r="L216" i="1"/>
  <c r="K216" i="1"/>
  <c r="K71" i="1"/>
  <c r="L71" i="1"/>
  <c r="L172" i="1"/>
  <c r="K172" i="1"/>
  <c r="L241" i="1"/>
  <c r="K241" i="1"/>
  <c r="K118" i="1"/>
  <c r="L118" i="1"/>
  <c r="L136" i="1"/>
  <c r="K136" i="1"/>
  <c r="L247" i="1"/>
  <c r="K247" i="1"/>
  <c r="L128" i="1"/>
  <c r="K128" i="1"/>
  <c r="K111" i="1"/>
  <c r="L111" i="1"/>
  <c r="L84" i="1"/>
  <c r="K84" i="1"/>
  <c r="L248" i="1"/>
  <c r="K248" i="1"/>
  <c r="L184" i="1"/>
  <c r="K184" i="1"/>
  <c r="K120" i="1"/>
  <c r="L120" i="1"/>
  <c r="K56" i="1"/>
  <c r="L56" i="1"/>
  <c r="L231" i="1"/>
  <c r="K231" i="1"/>
  <c r="L167" i="1"/>
  <c r="K167" i="1"/>
  <c r="L103" i="1"/>
  <c r="K103" i="1"/>
  <c r="K39" i="1"/>
  <c r="L39" i="1"/>
  <c r="L204" i="1"/>
  <c r="K204" i="1"/>
  <c r="L140" i="1"/>
  <c r="K140" i="1"/>
  <c r="L76" i="1"/>
  <c r="K76" i="1"/>
  <c r="K219" i="1"/>
  <c r="L219" i="1"/>
  <c r="L91" i="1"/>
  <c r="K91" i="1"/>
  <c r="K211" i="1"/>
  <c r="L211" i="1"/>
  <c r="K83" i="1"/>
  <c r="L83" i="1"/>
  <c r="L234" i="1"/>
  <c r="K234" i="1"/>
  <c r="L170" i="1"/>
  <c r="K170" i="1"/>
  <c r="K106" i="1"/>
  <c r="L106" i="1"/>
  <c r="L77" i="1"/>
  <c r="K77" i="1"/>
  <c r="L245" i="1"/>
  <c r="K245" i="1"/>
  <c r="L93" i="1"/>
  <c r="K93" i="1"/>
  <c r="L145" i="1"/>
  <c r="K145" i="1"/>
  <c r="L65" i="1"/>
  <c r="K65" i="1"/>
  <c r="L89" i="1"/>
  <c r="K89" i="1"/>
  <c r="L214" i="1"/>
  <c r="K214" i="1"/>
  <c r="L150" i="1"/>
  <c r="K150" i="1"/>
  <c r="L86" i="1"/>
  <c r="K86" i="1"/>
  <c r="K66" i="1"/>
  <c r="L42" i="1"/>
  <c r="K26" i="1"/>
  <c r="K104" i="1"/>
  <c r="L104" i="1"/>
  <c r="K23" i="1"/>
  <c r="L23" i="1"/>
  <c r="K124" i="1"/>
  <c r="L124" i="1"/>
  <c r="L85" i="1"/>
  <c r="K85" i="1"/>
  <c r="L51" i="1"/>
  <c r="K51" i="1"/>
  <c r="L213" i="1"/>
  <c r="K213" i="1"/>
  <c r="L74" i="1"/>
  <c r="K74" i="1"/>
  <c r="L198" i="1"/>
  <c r="K198" i="1"/>
  <c r="K50" i="1"/>
  <c r="K96" i="1"/>
  <c r="L96" i="1"/>
  <c r="L143" i="1"/>
  <c r="K143" i="1"/>
  <c r="K116" i="1"/>
  <c r="L116" i="1"/>
  <c r="K163" i="1"/>
  <c r="L163" i="1"/>
  <c r="L82" i="1"/>
  <c r="K82" i="1"/>
  <c r="L41" i="1"/>
  <c r="K41" i="1"/>
  <c r="L233" i="1"/>
  <c r="K233" i="1"/>
  <c r="L88" i="1"/>
  <c r="K88" i="1"/>
  <c r="K108" i="1"/>
  <c r="L108" i="1"/>
  <c r="K117" i="1"/>
  <c r="L117" i="1"/>
  <c r="L205" i="1"/>
  <c r="K205" i="1"/>
  <c r="L113" i="1"/>
  <c r="K113" i="1"/>
  <c r="L54" i="1"/>
  <c r="K54" i="1"/>
  <c r="L72" i="1"/>
  <c r="K72" i="1"/>
  <c r="L192" i="1"/>
  <c r="K192" i="1"/>
  <c r="L239" i="1"/>
  <c r="K239" i="1"/>
  <c r="L175" i="1"/>
  <c r="K175" i="1"/>
  <c r="L212" i="1"/>
  <c r="K212" i="1"/>
  <c r="K20" i="1"/>
  <c r="L20" i="1"/>
  <c r="L240" i="1"/>
  <c r="K240" i="1"/>
  <c r="L176" i="1"/>
  <c r="K176" i="1"/>
  <c r="K112" i="1"/>
  <c r="L112" i="1"/>
  <c r="K48" i="1"/>
  <c r="L48" i="1"/>
  <c r="L223" i="1"/>
  <c r="K223" i="1"/>
  <c r="L159" i="1"/>
  <c r="K159" i="1"/>
  <c r="K95" i="1"/>
  <c r="L95" i="1"/>
  <c r="K31" i="1"/>
  <c r="L31" i="1"/>
  <c r="L196" i="1"/>
  <c r="K196" i="1"/>
  <c r="L132" i="1"/>
  <c r="K132" i="1"/>
  <c r="L68" i="1"/>
  <c r="K68" i="1"/>
  <c r="K203" i="1"/>
  <c r="L203" i="1"/>
  <c r="K75" i="1"/>
  <c r="L75" i="1"/>
  <c r="K195" i="1"/>
  <c r="L195" i="1"/>
  <c r="K67" i="1"/>
  <c r="L67" i="1"/>
  <c r="L226" i="1"/>
  <c r="K226" i="1"/>
  <c r="L162" i="1"/>
  <c r="K162" i="1"/>
  <c r="K98" i="1"/>
  <c r="L98" i="1"/>
  <c r="K45" i="1"/>
  <c r="L45" i="1"/>
  <c r="L229" i="1"/>
  <c r="K229" i="1"/>
  <c r="L61" i="1"/>
  <c r="K61" i="1"/>
  <c r="K137" i="1"/>
  <c r="L137" i="1"/>
  <c r="L57" i="1"/>
  <c r="K57" i="1"/>
  <c r="L81" i="1"/>
  <c r="K81" i="1"/>
  <c r="L149" i="1"/>
  <c r="K149" i="1"/>
  <c r="L181" i="1"/>
  <c r="K181" i="1"/>
  <c r="L206" i="1"/>
  <c r="K206" i="1"/>
  <c r="L142" i="1"/>
  <c r="K142" i="1"/>
  <c r="L78" i="1"/>
  <c r="K78" i="1"/>
  <c r="L58" i="1"/>
  <c r="L66" i="1"/>
  <c r="K42" i="1"/>
  <c r="L26" i="1"/>
  <c r="E1" i="1"/>
  <c r="I13" i="1" s="1"/>
</calcChain>
</file>

<file path=xl/sharedStrings.xml><?xml version="1.0" encoding="utf-8"?>
<sst xmlns="http://schemas.openxmlformats.org/spreadsheetml/2006/main" count="395" uniqueCount="41">
  <si>
    <t>F</t>
  </si>
  <si>
    <t>M</t>
  </si>
  <si>
    <t>A</t>
  </si>
  <si>
    <t>J</t>
  </si>
  <si>
    <t>S</t>
  </si>
  <si>
    <t>O</t>
  </si>
  <si>
    <t>N</t>
  </si>
  <si>
    <t>D</t>
  </si>
  <si>
    <t>E-98</t>
  </si>
  <si>
    <t>E-99</t>
  </si>
  <si>
    <t>E-00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</si>
  <si>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</si>
  <si>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</si>
  <si>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</si>
  <si>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</si>
  <si>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</si>
  <si>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</si>
  <si>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</si>
  <si>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</si>
  <si>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</si>
  <si>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</si>
  <si>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</si>
  <si>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</si>
  <si>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</si>
  <si>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</si>
  <si>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</si>
  <si>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</si>
  <si>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</si>
  <si>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</si>
  <si>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</si>
  <si>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Year</t>
  </si>
  <si>
    <t>Month</t>
  </si>
  <si>
    <t>Bovinos,d11</t>
  </si>
  <si>
    <t>E-20</t>
  </si>
  <si>
    <t>E-21</t>
  </si>
  <si>
    <t>E-22</t>
  </si>
  <si>
    <t>E-23</t>
  </si>
  <si>
    <t>E-24</t>
  </si>
  <si>
    <t>E-25</t>
  </si>
  <si>
    <t>credito al sector privado real,d11</t>
  </si>
  <si>
    <t>E-26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</si>
</sst>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.0_-;\-* #,##0.0_-;_-* &quot;-&quot;?_-;_-@_-"/>
    <numFmt numFmtId="166" formatCode="0.0%"/>
    <numFmt numFmtId="167" formatCode="_ * #,##0.00_ ;_ * \-#,##0.00_ ;_ * &quot;-&quot;??_ ;_ @_ 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14" fontId="2" fillId="0" borderId="0" xfId="0" applyNumberFormat="1" applyFont="1"/>
    <xf numFmtId="164" fontId="2" fillId="0" borderId="0" xfId="1" applyNumberFormat="1" applyFont="1"/>
    <xf numFmtId="165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6" fontId="3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3" fontId="5" fillId="0" borderId="0" xfId="1" applyFont="1" applyAlignment="1">
      <alignment horizontal="left" vertical="center" wrapText="1"/>
    </xf>
    <xf numFmtId="43" fontId="6" fillId="0" borderId="0" xfId="1" applyFont="1" applyAlignment="1">
      <alignment vertical="center" wrapText="1"/>
    </xf>
    <xf numFmtId="43" fontId="0" fillId="0" borderId="0" xfId="1" applyFont="1"/>
    <xf numFmtId="3" fontId="2" fillId="0" borderId="0" xfId="0" applyNumberFormat="1" applyFont="1"/>
    <xf numFmtId="168" fontId="2" fillId="0" borderId="0" xfId="1" applyNumberFormat="1" applyFont="1"/>
    <xf numFmtId="168" fontId="2" fillId="0" borderId="0" xfId="0" applyNumberFormat="1" applyFont="1"/>
    <xf numFmtId="166" fontId="2" fillId="0" borderId="0" xfId="2" applyNumberFormat="1" applyFont="1"/>
    <xf numFmtId="164" fontId="5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vertical="center" wrapText="1"/>
    </xf>
    <xf numFmtId="164" fontId="0" fillId="0" borderId="0" xfId="1" applyNumberFormat="1" applyFont="1"/>
  </cellXfs>
  <cellStyles count="5">
    <cellStyle name="Millares" xfId="1" builtinId="3"/>
    <cellStyle name="Millares 2" xfId="3" xr:uid="{7FF7312C-589F-4269-8136-4CCBC783217E}"/>
    <cellStyle name="Normal" xfId="0" builtinId="0"/>
    <cellStyle name="Normal 2" xfId="4" xr:uid="{477E7E17-FBF9-4BBE-A24E-F3593E9FB41B}"/>
    <cellStyle name="Porcentaje" xfId="2" builtinId="5"/>
  </cellStyles>
  <dxfs count="0"/>
  <tableStyles count="0" defaultTableStyle="TableStyleMedium2" defaultPivotStyle="PivotStyleLight16"/>
  <colors>
    <mruColors>
      <color rgb="FF000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391835056369E-2"/>
          <c:y val="6.2795693962465982E-2"/>
          <c:w val="0.89386550748951188"/>
          <c:h val="0.79181132834741064"/>
        </c:manualLayout>
      </c:layout>
      <c:lineChart>
        <c:grouping val="standard"/>
        <c:varyColors val="0"/>
        <c:ser>
          <c:idx val="1"/>
          <c:order val="0"/>
          <c:tx>
            <c:v>Con ajuste estacional</c:v>
          </c:tx>
          <c:spPr>
            <a:ln w="22225" cap="rnd">
              <a:solidFill>
                <a:srgbClr val="00003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3A"/>
              </a:solidFill>
              <a:ln w="9525">
                <a:noFill/>
              </a:ln>
              <a:effectLst/>
            </c:spPr>
          </c:marker>
          <c:dLbls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B4-46E8-AF5B-4A4AC013C61F}"/>
                </c:ext>
              </c:extLst>
            </c:dLbl>
            <c:dLbl>
              <c:idx val="117"/>
              <c:layout>
                <c:manualLayout>
                  <c:x val="-9.1950110066489043E-17"/>
                  <c:y val="-4.1821948487873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B4-46E8-AF5B-4A4AC013C61F}"/>
                </c:ext>
              </c:extLst>
            </c:dLbl>
            <c:dLbl>
              <c:idx val="143"/>
              <c:layout>
                <c:manualLayout>
                  <c:x val="6.269398110136745E-3"/>
                  <c:y val="3.7639753639085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B4-46E8-AF5B-4A4AC013C61F}"/>
                </c:ext>
              </c:extLst>
            </c:dLbl>
            <c:dLbl>
              <c:idx val="194"/>
              <c:layout>
                <c:manualLayout>
                  <c:x val="-2.3823712818519981E-2"/>
                  <c:y val="5.2277435609841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B4-46E8-AF5B-4A4AC013C61F}"/>
                </c:ext>
              </c:extLst>
            </c:dLbl>
            <c:dLbl>
              <c:idx val="202"/>
              <c:layout>
                <c:manualLayout>
                  <c:x val="-6.7709499589477931E-2"/>
                  <c:y val="-4.1821948487873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B4-46E8-AF5B-4A4AC013C61F}"/>
                </c:ext>
              </c:extLst>
            </c:dLbl>
            <c:dLbl>
              <c:idx val="208"/>
              <c:layout>
                <c:manualLayout>
                  <c:x val="-2.5077592440548267E-3"/>
                  <c:y val="3.7639753639085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B4-46E8-AF5B-4A4AC013C61F}"/>
                </c:ext>
              </c:extLst>
            </c:dLbl>
            <c:dLbl>
              <c:idx val="233"/>
              <c:layout>
                <c:manualLayout>
                  <c:x val="-3.6363607647198239E-2"/>
                  <c:y val="-8.15276851431713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B4-46E8-AF5B-4A4AC013C61F}"/>
                </c:ext>
              </c:extLst>
            </c:dLbl>
            <c:dLbl>
              <c:idx val="238"/>
              <c:layout>
                <c:manualLayout>
                  <c:x val="-1.6299252853020755E-2"/>
                  <c:y val="-7.734720006212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B4-46E8-AF5B-4A4AC013C61F}"/>
                </c:ext>
              </c:extLst>
            </c:dLbl>
            <c:dLbl>
              <c:idx val="245"/>
              <c:layout>
                <c:manualLayout>
                  <c:x val="-1.7554314708383326E-2"/>
                  <c:y val="5.855072788302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B4-46E8-AF5B-4A4AC013C61F}"/>
                </c:ext>
              </c:extLst>
            </c:dLbl>
            <c:dLbl>
              <c:idx val="249"/>
              <c:layout>
                <c:manualLayout>
                  <c:x val="-1.1282374452428003E-2"/>
                  <c:y val="-4.5994055518026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B4-46E8-AF5B-4A4AC013C61F}"/>
                </c:ext>
              </c:extLst>
            </c:dLbl>
            <c:dLbl>
              <c:idx val="259"/>
              <c:layout>
                <c:manualLayout>
                  <c:x val="-1.6297476023411903E-2"/>
                  <c:y val="-3.9698978750763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60-40CC-AA7A-CBE59894495D}"/>
                </c:ext>
              </c:extLst>
            </c:dLbl>
            <c:dLbl>
              <c:idx val="266"/>
              <c:layout>
                <c:manualLayout>
                  <c:x val="-1.8804780027013732E-2"/>
                  <c:y val="-6.2682598027521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E8-4D9A-A756-D95CC3B93C78}"/>
                </c:ext>
              </c:extLst>
            </c:dLbl>
            <c:dLbl>
              <c:idx val="267"/>
              <c:layout>
                <c:manualLayout>
                  <c:x val="-1.838668362187523E-16"/>
                  <c:y val="3.1341299013760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E8-4D9A-A756-D95CC3B93C78}"/>
                </c:ext>
              </c:extLst>
            </c:dLbl>
            <c:dLbl>
              <c:idx val="268"/>
              <c:layout>
                <c:manualLayout>
                  <c:x val="1.002921601440714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00-4598-8D03-254221E7EF1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3A"/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Hoja1!$H$73:$H$341</c:f>
              <c:strCache>
                <c:ptCount val="269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</c:v>
                </c:pt>
                <c:pt idx="204">
                  <c:v>E-21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</c:v>
                </c:pt>
                <c:pt idx="216">
                  <c:v>E-22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</c:v>
                </c:pt>
                <c:pt idx="228">
                  <c:v>E-23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</c:v>
                </c:pt>
                <c:pt idx="240">
                  <c:v>E-24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</c:v>
                </c:pt>
                <c:pt idx="252">
                  <c:v>E-25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</c:v>
                </c:pt>
                <c:pt idx="264">
                  <c:v>E-26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</c:strCache>
            </c:strRef>
          </c:cat>
          <c:val>
            <c:numRef>
              <c:f>Hoja1!$F$73:$F$341</c:f>
              <c:numCache>
                <c:formatCode>_-* #,##0.0_-;\-* #,##0.0_-;_-* "-"?_-;_-@_-</c:formatCode>
                <c:ptCount val="269"/>
                <c:pt idx="0">
                  <c:v>94.907358792581022</c:v>
                </c:pt>
                <c:pt idx="1">
                  <c:v>99.042256785213056</c:v>
                </c:pt>
                <c:pt idx="2">
                  <c:v>99.081779872321917</c:v>
                </c:pt>
                <c:pt idx="3">
                  <c:v>96.271230094557666</c:v>
                </c:pt>
                <c:pt idx="4">
                  <c:v>102.54131825462829</c:v>
                </c:pt>
                <c:pt idx="5">
                  <c:v>103.04996495249732</c:v>
                </c:pt>
                <c:pt idx="6">
                  <c:v>100.46281528143626</c:v>
                </c:pt>
                <c:pt idx="7">
                  <c:v>100.0928383130169</c:v>
                </c:pt>
                <c:pt idx="8">
                  <c:v>99.636383494772602</c:v>
                </c:pt>
                <c:pt idx="9">
                  <c:v>101.51084341549324</c:v>
                </c:pt>
                <c:pt idx="10">
                  <c:v>101.50536929208442</c:v>
                </c:pt>
                <c:pt idx="11">
                  <c:v>101.89784145139735</c:v>
                </c:pt>
                <c:pt idx="12">
                  <c:v>102.11486152400305</c:v>
                </c:pt>
                <c:pt idx="13">
                  <c:v>102.85155111930095</c:v>
                </c:pt>
                <c:pt idx="14">
                  <c:v>96.25253132201523</c:v>
                </c:pt>
                <c:pt idx="15">
                  <c:v>111.77269994402641</c:v>
                </c:pt>
                <c:pt idx="16">
                  <c:v>111.14655217516317</c:v>
                </c:pt>
                <c:pt idx="17">
                  <c:v>104.55198491958208</c:v>
                </c:pt>
                <c:pt idx="18">
                  <c:v>103.77401928209713</c:v>
                </c:pt>
                <c:pt idx="19">
                  <c:v>103.44646091096581</c:v>
                </c:pt>
                <c:pt idx="20">
                  <c:v>103.79785925389184</c:v>
                </c:pt>
                <c:pt idx="21">
                  <c:v>105.84032657417661</c:v>
                </c:pt>
                <c:pt idx="22">
                  <c:v>103.59717608535554</c:v>
                </c:pt>
                <c:pt idx="23">
                  <c:v>102.83961287894938</c:v>
                </c:pt>
                <c:pt idx="24">
                  <c:v>103.3423256706003</c:v>
                </c:pt>
                <c:pt idx="25">
                  <c:v>99.382421295324392</c:v>
                </c:pt>
                <c:pt idx="26">
                  <c:v>99.323638103504237</c:v>
                </c:pt>
                <c:pt idx="27">
                  <c:v>92.042643838955286</c:v>
                </c:pt>
                <c:pt idx="28">
                  <c:v>89.41751361393267</c:v>
                </c:pt>
                <c:pt idx="29">
                  <c:v>94.6996186678698</c:v>
                </c:pt>
                <c:pt idx="30">
                  <c:v>99.256353105467568</c:v>
                </c:pt>
                <c:pt idx="31">
                  <c:v>108.70049354127751</c:v>
                </c:pt>
                <c:pt idx="32">
                  <c:v>108.33855604483422</c:v>
                </c:pt>
                <c:pt idx="33">
                  <c:v>107.10679163107217</c:v>
                </c:pt>
                <c:pt idx="34">
                  <c:v>107.41930226209335</c:v>
                </c:pt>
                <c:pt idx="35">
                  <c:v>99.368416246946907</c:v>
                </c:pt>
                <c:pt idx="36">
                  <c:v>104.18767382511314</c:v>
                </c:pt>
                <c:pt idx="37">
                  <c:v>104.80427458335784</c:v>
                </c:pt>
                <c:pt idx="38">
                  <c:v>102.86632560851183</c:v>
                </c:pt>
                <c:pt idx="39">
                  <c:v>103.13116977836023</c:v>
                </c:pt>
                <c:pt idx="40">
                  <c:v>102.6442048087534</c:v>
                </c:pt>
                <c:pt idx="41">
                  <c:v>107.74744836509542</c:v>
                </c:pt>
                <c:pt idx="42">
                  <c:v>108.83835819454453</c:v>
                </c:pt>
                <c:pt idx="43">
                  <c:v>109.44942646759412</c:v>
                </c:pt>
                <c:pt idx="44">
                  <c:v>98.779802221208143</c:v>
                </c:pt>
                <c:pt idx="45">
                  <c:v>108.01784587381304</c:v>
                </c:pt>
                <c:pt idx="46">
                  <c:v>116.88678780333611</c:v>
                </c:pt>
                <c:pt idx="47">
                  <c:v>112.53702395092495</c:v>
                </c:pt>
                <c:pt idx="48">
                  <c:v>110.74023558451623</c:v>
                </c:pt>
                <c:pt idx="49">
                  <c:v>112.49971027751549</c:v>
                </c:pt>
                <c:pt idx="50">
                  <c:v>67.797833953941975</c:v>
                </c:pt>
                <c:pt idx="51">
                  <c:v>119.27123030145306</c:v>
                </c:pt>
                <c:pt idx="52">
                  <c:v>94.20513325681091</c:v>
                </c:pt>
                <c:pt idx="53">
                  <c:v>89.838651709038913</c:v>
                </c:pt>
                <c:pt idx="54">
                  <c:v>111.59035953196963</c:v>
                </c:pt>
                <c:pt idx="55">
                  <c:v>110.12122412774279</c:v>
                </c:pt>
                <c:pt idx="56">
                  <c:v>110.58959862324468</c:v>
                </c:pt>
                <c:pt idx="57">
                  <c:v>105.04371578114926</c:v>
                </c:pt>
                <c:pt idx="58">
                  <c:v>103.60939634093822</c:v>
                </c:pt>
                <c:pt idx="59">
                  <c:v>106.07144163652846</c:v>
                </c:pt>
                <c:pt idx="60">
                  <c:v>111.3751065987298</c:v>
                </c:pt>
                <c:pt idx="61">
                  <c:v>110.77859592025101</c:v>
                </c:pt>
                <c:pt idx="62">
                  <c:v>105.36439108113471</c:v>
                </c:pt>
                <c:pt idx="63">
                  <c:v>116.85374579604031</c:v>
                </c:pt>
                <c:pt idx="64">
                  <c:v>108.28674149088388</c:v>
                </c:pt>
                <c:pt idx="65">
                  <c:v>119.40131887429249</c:v>
                </c:pt>
                <c:pt idx="66">
                  <c:v>115.41610256667749</c:v>
                </c:pt>
                <c:pt idx="67">
                  <c:v>114.84734166000177</c:v>
                </c:pt>
                <c:pt idx="68">
                  <c:v>105.69420780057945</c:v>
                </c:pt>
                <c:pt idx="69">
                  <c:v>116.84118131473571</c:v>
                </c:pt>
                <c:pt idx="70">
                  <c:v>111.28037448919321</c:v>
                </c:pt>
                <c:pt idx="71">
                  <c:v>105.31257323723369</c:v>
                </c:pt>
                <c:pt idx="72">
                  <c:v>98.664566491501787</c:v>
                </c:pt>
                <c:pt idx="73">
                  <c:v>91.555081700633863</c:v>
                </c:pt>
                <c:pt idx="74">
                  <c:v>89.521490960290933</c:v>
                </c:pt>
                <c:pt idx="75">
                  <c:v>86.847192329181098</c:v>
                </c:pt>
                <c:pt idx="76">
                  <c:v>87.278109551194021</c:v>
                </c:pt>
                <c:pt idx="77">
                  <c:v>83.777270074106227</c:v>
                </c:pt>
                <c:pt idx="78">
                  <c:v>85.522970074947096</c:v>
                </c:pt>
                <c:pt idx="79">
                  <c:v>90.503892681562334</c:v>
                </c:pt>
                <c:pt idx="80">
                  <c:v>83.659471802016199</c:v>
                </c:pt>
                <c:pt idx="81">
                  <c:v>81.512133909249073</c:v>
                </c:pt>
                <c:pt idx="82">
                  <c:v>83.128876557804489</c:v>
                </c:pt>
                <c:pt idx="83">
                  <c:v>81.229054548679755</c:v>
                </c:pt>
                <c:pt idx="84">
                  <c:v>83.773732823608228</c:v>
                </c:pt>
                <c:pt idx="85">
                  <c:v>86.249950922451404</c:v>
                </c:pt>
                <c:pt idx="86">
                  <c:v>83.854494625776269</c:v>
                </c:pt>
                <c:pt idx="87">
                  <c:v>82.524053948480073</c:v>
                </c:pt>
                <c:pt idx="88">
                  <c:v>82.826454987354069</c:v>
                </c:pt>
                <c:pt idx="89">
                  <c:v>81.02455329269543</c:v>
                </c:pt>
                <c:pt idx="90">
                  <c:v>80.435706873597695</c:v>
                </c:pt>
                <c:pt idx="91">
                  <c:v>81.483869625046552</c:v>
                </c:pt>
                <c:pt idx="92">
                  <c:v>82.003356845259475</c:v>
                </c:pt>
                <c:pt idx="93">
                  <c:v>83.681101762855107</c:v>
                </c:pt>
                <c:pt idx="94">
                  <c:v>81.617675974572094</c:v>
                </c:pt>
                <c:pt idx="95">
                  <c:v>86.105056746983635</c:v>
                </c:pt>
                <c:pt idx="96">
                  <c:v>85.821276448745763</c:v>
                </c:pt>
                <c:pt idx="97">
                  <c:v>85.97055520331692</c:v>
                </c:pt>
                <c:pt idx="98">
                  <c:v>86.631753577849963</c:v>
                </c:pt>
                <c:pt idx="99">
                  <c:v>84.141175517007198</c:v>
                </c:pt>
                <c:pt idx="100">
                  <c:v>86.372378762440334</c:v>
                </c:pt>
                <c:pt idx="101">
                  <c:v>82.775256512426182</c:v>
                </c:pt>
                <c:pt idx="102">
                  <c:v>86.083806705797116</c:v>
                </c:pt>
                <c:pt idx="103">
                  <c:v>81.603169733078587</c:v>
                </c:pt>
                <c:pt idx="104">
                  <c:v>86.615830157311294</c:v>
                </c:pt>
                <c:pt idx="105">
                  <c:v>87.273104426640614</c:v>
                </c:pt>
                <c:pt idx="106">
                  <c:v>89.128209172764613</c:v>
                </c:pt>
                <c:pt idx="107">
                  <c:v>89.522533939495148</c:v>
                </c:pt>
                <c:pt idx="108">
                  <c:v>91.894073091646192</c:v>
                </c:pt>
                <c:pt idx="109">
                  <c:v>94.099980532622951</c:v>
                </c:pt>
                <c:pt idx="110">
                  <c:v>92.221954639103672</c:v>
                </c:pt>
                <c:pt idx="111">
                  <c:v>94.046234060528946</c:v>
                </c:pt>
                <c:pt idx="112">
                  <c:v>91.67298643721989</c:v>
                </c:pt>
                <c:pt idx="113">
                  <c:v>94.688998942808496</c:v>
                </c:pt>
                <c:pt idx="114">
                  <c:v>95.250900812631286</c:v>
                </c:pt>
                <c:pt idx="115">
                  <c:v>93.097951582673346</c:v>
                </c:pt>
                <c:pt idx="116">
                  <c:v>94.307454909946699</c:v>
                </c:pt>
                <c:pt idx="117">
                  <c:v>95.449786769968398</c:v>
                </c:pt>
                <c:pt idx="118">
                  <c:v>91.578804870862513</c:v>
                </c:pt>
                <c:pt idx="119">
                  <c:v>92.121718536036852</c:v>
                </c:pt>
                <c:pt idx="120">
                  <c:v>87.864800454531206</c:v>
                </c:pt>
                <c:pt idx="121">
                  <c:v>88.212982446207917</c:v>
                </c:pt>
                <c:pt idx="122">
                  <c:v>88.336943896724478</c:v>
                </c:pt>
                <c:pt idx="123">
                  <c:v>89.557532554748974</c:v>
                </c:pt>
                <c:pt idx="124">
                  <c:v>88.379543995099823</c:v>
                </c:pt>
                <c:pt idx="125">
                  <c:v>91.670407052798481</c:v>
                </c:pt>
                <c:pt idx="126">
                  <c:v>86.896564540480753</c:v>
                </c:pt>
                <c:pt idx="127">
                  <c:v>86.993594182149451</c:v>
                </c:pt>
                <c:pt idx="128">
                  <c:v>87.96780134294481</c:v>
                </c:pt>
                <c:pt idx="129">
                  <c:v>86.082584320997029</c:v>
                </c:pt>
                <c:pt idx="130">
                  <c:v>94.434583794580433</c:v>
                </c:pt>
                <c:pt idx="131">
                  <c:v>84.684006127630198</c:v>
                </c:pt>
                <c:pt idx="132">
                  <c:v>90.953166752056916</c:v>
                </c:pt>
                <c:pt idx="133">
                  <c:v>91.706748972557477</c:v>
                </c:pt>
                <c:pt idx="134">
                  <c:v>92.496762839926987</c:v>
                </c:pt>
                <c:pt idx="135">
                  <c:v>93.258908752973355</c:v>
                </c:pt>
                <c:pt idx="136">
                  <c:v>93.701057228200909</c:v>
                </c:pt>
                <c:pt idx="137">
                  <c:v>94.612369277874237</c:v>
                </c:pt>
                <c:pt idx="138">
                  <c:v>86.413261145051109</c:v>
                </c:pt>
                <c:pt idx="139">
                  <c:v>90.938101871566147</c:v>
                </c:pt>
                <c:pt idx="140">
                  <c:v>92.66481461537569</c:v>
                </c:pt>
                <c:pt idx="141">
                  <c:v>87.583991921527243</c:v>
                </c:pt>
                <c:pt idx="142">
                  <c:v>87.359088428210512</c:v>
                </c:pt>
                <c:pt idx="143">
                  <c:v>79.922206315417313</c:v>
                </c:pt>
                <c:pt idx="144">
                  <c:v>88.882788575757147</c:v>
                </c:pt>
                <c:pt idx="145">
                  <c:v>87.963733760370133</c:v>
                </c:pt>
                <c:pt idx="146">
                  <c:v>87.145724833526188</c:v>
                </c:pt>
                <c:pt idx="147">
                  <c:v>85.034934660391087</c:v>
                </c:pt>
                <c:pt idx="148">
                  <c:v>88.988733829132968</c:v>
                </c:pt>
                <c:pt idx="149">
                  <c:v>83.410828642747887</c:v>
                </c:pt>
                <c:pt idx="150">
                  <c:v>84.370857836926689</c:v>
                </c:pt>
                <c:pt idx="151">
                  <c:v>87.760794792457247</c:v>
                </c:pt>
                <c:pt idx="152">
                  <c:v>85.592173093883545</c:v>
                </c:pt>
                <c:pt idx="153">
                  <c:v>87.36656462910247</c:v>
                </c:pt>
                <c:pt idx="154">
                  <c:v>90.609637624876243</c:v>
                </c:pt>
                <c:pt idx="155">
                  <c:v>92.044556381265153</c:v>
                </c:pt>
                <c:pt idx="156">
                  <c:v>93.341873234537502</c:v>
                </c:pt>
                <c:pt idx="157">
                  <c:v>88.653579137339491</c:v>
                </c:pt>
                <c:pt idx="158">
                  <c:v>93.671134777255944</c:v>
                </c:pt>
                <c:pt idx="159">
                  <c:v>92.546889679359822</c:v>
                </c:pt>
                <c:pt idx="160">
                  <c:v>92.63991211702016</c:v>
                </c:pt>
                <c:pt idx="161">
                  <c:v>93.307246665806915</c:v>
                </c:pt>
                <c:pt idx="162">
                  <c:v>93.876451527035968</c:v>
                </c:pt>
                <c:pt idx="163">
                  <c:v>92.83603044927456</c:v>
                </c:pt>
                <c:pt idx="164">
                  <c:v>95.164036106220635</c:v>
                </c:pt>
                <c:pt idx="165">
                  <c:v>97.155385632744469</c:v>
                </c:pt>
                <c:pt idx="166">
                  <c:v>98.739827099609386</c:v>
                </c:pt>
                <c:pt idx="167">
                  <c:v>98.835106004700208</c:v>
                </c:pt>
                <c:pt idx="168">
                  <c:v>100.10471173578892</c:v>
                </c:pt>
                <c:pt idx="169">
                  <c:v>101.61387747111684</c:v>
                </c:pt>
                <c:pt idx="170">
                  <c:v>103.30787265425099</c:v>
                </c:pt>
                <c:pt idx="171">
                  <c:v>103.06680467621435</c:v>
                </c:pt>
                <c:pt idx="172">
                  <c:v>100.34935723758356</c:v>
                </c:pt>
                <c:pt idx="173">
                  <c:v>102.8208141103153</c:v>
                </c:pt>
                <c:pt idx="174">
                  <c:v>101.66709247777395</c:v>
                </c:pt>
                <c:pt idx="175">
                  <c:v>102.88397478568405</c:v>
                </c:pt>
                <c:pt idx="176">
                  <c:v>98.08769292401297</c:v>
                </c:pt>
                <c:pt idx="177">
                  <c:v>101.81277848025105</c:v>
                </c:pt>
                <c:pt idx="178">
                  <c:v>99.3197110978616</c:v>
                </c:pt>
                <c:pt idx="179">
                  <c:v>100.32460720060033</c:v>
                </c:pt>
                <c:pt idx="180">
                  <c:v>101.6341522573783</c:v>
                </c:pt>
                <c:pt idx="181">
                  <c:v>99.866316965151114</c:v>
                </c:pt>
                <c:pt idx="182">
                  <c:v>93.020782024590929</c:v>
                </c:pt>
                <c:pt idx="183">
                  <c:v>98.251221271627955</c:v>
                </c:pt>
                <c:pt idx="184">
                  <c:v>101.56232866332526</c:v>
                </c:pt>
                <c:pt idx="185">
                  <c:v>101.67691988663212</c:v>
                </c:pt>
                <c:pt idx="186">
                  <c:v>107.84539124384189</c:v>
                </c:pt>
                <c:pt idx="187">
                  <c:v>104.12122492874785</c:v>
                </c:pt>
                <c:pt idx="188">
                  <c:v>109.2876807398589</c:v>
                </c:pt>
                <c:pt idx="189">
                  <c:v>108.87494544363805</c:v>
                </c:pt>
                <c:pt idx="190">
                  <c:v>108.50612364761921</c:v>
                </c:pt>
                <c:pt idx="191">
                  <c:v>108.79113020100584</c:v>
                </c:pt>
                <c:pt idx="192">
                  <c:v>103.94899633248326</c:v>
                </c:pt>
                <c:pt idx="193">
                  <c:v>101.86967567175404</c:v>
                </c:pt>
                <c:pt idx="194">
                  <c:v>95.697468477555148</c:v>
                </c:pt>
                <c:pt idx="195">
                  <c:v>107.09291878287421</c:v>
                </c:pt>
                <c:pt idx="196">
                  <c:v>106.04092348051439</c:v>
                </c:pt>
                <c:pt idx="197">
                  <c:v>106.55902123864429</c:v>
                </c:pt>
                <c:pt idx="198">
                  <c:v>103.78472347400259</c:v>
                </c:pt>
                <c:pt idx="199">
                  <c:v>104.63475744787092</c:v>
                </c:pt>
                <c:pt idx="200">
                  <c:v>106.69980685584667</c:v>
                </c:pt>
                <c:pt idx="201">
                  <c:v>107.32142619521012</c:v>
                </c:pt>
                <c:pt idx="202">
                  <c:v>111.42154310428471</c:v>
                </c:pt>
                <c:pt idx="203">
                  <c:v>101.49599665670969</c:v>
                </c:pt>
                <c:pt idx="204">
                  <c:v>99.311004887151284</c:v>
                </c:pt>
                <c:pt idx="205">
                  <c:v>101.16039889628499</c:v>
                </c:pt>
                <c:pt idx="206">
                  <c:v>101.84341406533979</c:v>
                </c:pt>
                <c:pt idx="207">
                  <c:v>101.60653499958076</c:v>
                </c:pt>
                <c:pt idx="208">
                  <c:v>91.211389131135917</c:v>
                </c:pt>
                <c:pt idx="209">
                  <c:v>98.635073546670867</c:v>
                </c:pt>
                <c:pt idx="210">
                  <c:v>96.246434880222481</c:v>
                </c:pt>
                <c:pt idx="211">
                  <c:v>101.04616424555239</c:v>
                </c:pt>
                <c:pt idx="212">
                  <c:v>97.053545815182133</c:v>
                </c:pt>
                <c:pt idx="213">
                  <c:v>98.59966630225621</c:v>
                </c:pt>
                <c:pt idx="214">
                  <c:v>98.526037511018103</c:v>
                </c:pt>
                <c:pt idx="215">
                  <c:v>98.697625166106491</c:v>
                </c:pt>
                <c:pt idx="216">
                  <c:v>97.132501478629962</c:v>
                </c:pt>
                <c:pt idx="217">
                  <c:v>104.23223822888818</c:v>
                </c:pt>
                <c:pt idx="218">
                  <c:v>101.23420474280043</c:v>
                </c:pt>
                <c:pt idx="219">
                  <c:v>103.2199054919444</c:v>
                </c:pt>
                <c:pt idx="220">
                  <c:v>107.19052399996785</c:v>
                </c:pt>
                <c:pt idx="221">
                  <c:v>103.93572464647296</c:v>
                </c:pt>
                <c:pt idx="222">
                  <c:v>103.02650187090394</c:v>
                </c:pt>
                <c:pt idx="223">
                  <c:v>106.82926192282021</c:v>
                </c:pt>
                <c:pt idx="224">
                  <c:v>106.39293173365509</c:v>
                </c:pt>
                <c:pt idx="225">
                  <c:v>102.96153689454069</c:v>
                </c:pt>
                <c:pt idx="226">
                  <c:v>107.16116005385727</c:v>
                </c:pt>
                <c:pt idx="227">
                  <c:v>110.84807567918982</c:v>
                </c:pt>
                <c:pt idx="228">
                  <c:v>113.0480793774956</c:v>
                </c:pt>
                <c:pt idx="229">
                  <c:v>105.6299687034338</c:v>
                </c:pt>
                <c:pt idx="230">
                  <c:v>113.97512464680501</c:v>
                </c:pt>
                <c:pt idx="231">
                  <c:v>115.56180276314889</c:v>
                </c:pt>
                <c:pt idx="232">
                  <c:v>111.57191456560254</c:v>
                </c:pt>
                <c:pt idx="233">
                  <c:v>116.26392352443074</c:v>
                </c:pt>
                <c:pt idx="234">
                  <c:v>113.73581845082448</c:v>
                </c:pt>
                <c:pt idx="235">
                  <c:v>102.22790991442264</c:v>
                </c:pt>
                <c:pt idx="236">
                  <c:v>104.53332168410476</c:v>
                </c:pt>
                <c:pt idx="237">
                  <c:v>100.67631823099677</c:v>
                </c:pt>
                <c:pt idx="238">
                  <c:v>111.37113977984852</c:v>
                </c:pt>
                <c:pt idx="239">
                  <c:v>99.72565261090719</c:v>
                </c:pt>
                <c:pt idx="240">
                  <c:v>106.92760850991452</c:v>
                </c:pt>
                <c:pt idx="241">
                  <c:v>103.77587888017563</c:v>
                </c:pt>
                <c:pt idx="242">
                  <c:v>102.06913547972569</c:v>
                </c:pt>
                <c:pt idx="243">
                  <c:v>98.578553261367006</c:v>
                </c:pt>
                <c:pt idx="244">
                  <c:v>103.12646803297569</c:v>
                </c:pt>
                <c:pt idx="245">
                  <c:v>97.195045314294802</c:v>
                </c:pt>
                <c:pt idx="246">
                  <c:v>105.62045620723195</c:v>
                </c:pt>
                <c:pt idx="247">
                  <c:v>105.74738288364827</c:v>
                </c:pt>
                <c:pt idx="248">
                  <c:v>109.34488072121728</c:v>
                </c:pt>
                <c:pt idx="249">
                  <c:v>110.30402176887833</c:v>
                </c:pt>
                <c:pt idx="250">
                  <c:v>105.90144763588918</c:v>
                </c:pt>
                <c:pt idx="251">
                  <c:v>110.42548942845012</c:v>
                </c:pt>
                <c:pt idx="252">
                  <c:v>105.08646562633889</c:v>
                </c:pt>
                <c:pt idx="253">
                  <c:v>104.34840508206811</c:v>
                </c:pt>
                <c:pt idx="254">
                  <c:v>97.450094899269459</c:v>
                </c:pt>
                <c:pt idx="255">
                  <c:v>107.24849525043372</c:v>
                </c:pt>
                <c:pt idx="256">
                  <c:v>103.22185040395063</c:v>
                </c:pt>
                <c:pt idx="257">
                  <c:v>104.80256112205633</c:v>
                </c:pt>
                <c:pt idx="258">
                  <c:v>105.40106963471125</c:v>
                </c:pt>
                <c:pt idx="259">
                  <c:v>105.708384782321</c:v>
                </c:pt>
                <c:pt idx="260">
                  <c:v>102.73958578512389</c:v>
                </c:pt>
                <c:pt idx="261">
                  <c:v>104.07250076485309</c:v>
                </c:pt>
                <c:pt idx="262">
                  <c:v>102.03503017660339</c:v>
                </c:pt>
                <c:pt idx="263">
                  <c:v>99.077777179042883</c:v>
                </c:pt>
                <c:pt idx="264">
                  <c:v>98.008201403853846</c:v>
                </c:pt>
                <c:pt idx="265">
                  <c:v>97.36567422553631</c:v>
                </c:pt>
                <c:pt idx="266">
                  <c:v>97.856074482893447</c:v>
                </c:pt>
                <c:pt idx="267">
                  <c:v>95.077925171942056</c:v>
                </c:pt>
                <c:pt idx="268">
                  <c:v>98.965157990713564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4-46E8-AF5B-4A4AC013C61F}"/>
            </c:ext>
          </c:extLst>
        </c:ser>
        <c:ser>
          <c:idx val="2"/>
          <c:order val="1"/>
          <c:tx>
            <c:v>Tendencia-Ciclo</c:v>
          </c:tx>
          <c:spPr>
            <a:ln w="222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Hoja1!$H$73:$H$341</c:f>
              <c:strCache>
                <c:ptCount val="269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</c:v>
                </c:pt>
                <c:pt idx="204">
                  <c:v>E-21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</c:v>
                </c:pt>
                <c:pt idx="216">
                  <c:v>E-22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</c:v>
                </c:pt>
                <c:pt idx="228">
                  <c:v>E-23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</c:v>
                </c:pt>
                <c:pt idx="240">
                  <c:v>E-24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</c:v>
                </c:pt>
                <c:pt idx="252">
                  <c:v>E-25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</c:v>
                </c:pt>
                <c:pt idx="264">
                  <c:v>E-26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</c:strCache>
            </c:strRef>
          </c:cat>
          <c:val>
            <c:numRef>
              <c:f>Hoja1!$G$73:$G$255</c:f>
              <c:numCache>
                <c:formatCode>_-* #,##0.0_-;\-* #,##0.0_-;_-* "-"?_-;_-@_-</c:formatCode>
                <c:ptCount val="1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4-46E8-AF5B-4A4AC013C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680"/>
        <c:axId val="408531968"/>
      </c:lineChart>
      <c:catAx>
        <c:axId val="40859068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rgbClr val="00003A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408531968"/>
        <c:crosses val="autoZero"/>
        <c:auto val="1"/>
        <c:lblAlgn val="ctr"/>
        <c:lblOffset val="100"/>
        <c:tickLblSkip val="6"/>
        <c:tickMarkSkip val="12"/>
        <c:noMultiLvlLbl val="0"/>
      </c:catAx>
      <c:valAx>
        <c:axId val="408531968"/>
        <c:scaling>
          <c:orientation val="minMax"/>
          <c:max val="140"/>
          <c:min val="50"/>
        </c:scaling>
        <c:delete val="0"/>
        <c:axPos val="l"/>
        <c:numFmt formatCode="_-* #,##0.0_-;\-* #,##0.0_-;_-* &quot;-&quot;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391835056369E-2"/>
          <c:y val="6.2795693962465982E-2"/>
          <c:w val="0.93775126931363217"/>
          <c:h val="0.8148133558694608"/>
        </c:manualLayout>
      </c:layout>
      <c:lineChart>
        <c:grouping val="standard"/>
        <c:varyColors val="0"/>
        <c:ser>
          <c:idx val="0"/>
          <c:order val="0"/>
          <c:tx>
            <c:v>Original</c:v>
          </c:tx>
          <c:spPr>
            <a:ln w="22225" cap="rnd">
              <a:solidFill>
                <a:srgbClr val="336600"/>
              </a:solidFill>
              <a:round/>
            </a:ln>
            <a:effectLst/>
          </c:spPr>
          <c:marker>
            <c:symbol val="none"/>
          </c:marker>
          <c:cat>
            <c:strRef>
              <c:f>Hoja1!$H$73:$H$274</c:f>
              <c:strCache>
                <c:ptCount val="202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</c:strCache>
            </c:strRef>
          </c:cat>
          <c:val>
            <c:numRef>
              <c:f>Hoja1!$E$73:$E$274</c:f>
              <c:numCache>
                <c:formatCode>_-* #,##0.0_-;\-* #,##0.0_-;_-* "-"?_-;_-@_-</c:formatCode>
                <c:ptCount val="202"/>
                <c:pt idx="0">
                  <c:v>93.837166301359517</c:v>
                </c:pt>
                <c:pt idx="1">
                  <c:v>90.347450318731276</c:v>
                </c:pt>
                <c:pt idx="2">
                  <c:v>102.79539124351813</c:v>
                </c:pt>
                <c:pt idx="3">
                  <c:v>90.084308142706121</c:v>
                </c:pt>
                <c:pt idx="4">
                  <c:v>97.101307775486816</c:v>
                </c:pt>
                <c:pt idx="5">
                  <c:v>103.63454609620999</c:v>
                </c:pt>
                <c:pt idx="6">
                  <c:v>102.94503311058682</c:v>
                </c:pt>
                <c:pt idx="7">
                  <c:v>102.69048304484781</c:v>
                </c:pt>
                <c:pt idx="8">
                  <c:v>103.48632735547707</c:v>
                </c:pt>
                <c:pt idx="9">
                  <c:v>101.76769810116453</c:v>
                </c:pt>
                <c:pt idx="10">
                  <c:v>106.03828016682526</c:v>
                </c:pt>
                <c:pt idx="11">
                  <c:v>105.27200834308674</c:v>
                </c:pt>
                <c:pt idx="12">
                  <c:v>97.435392086650836</c:v>
                </c:pt>
                <c:pt idx="13">
                  <c:v>94.152636506806047</c:v>
                </c:pt>
                <c:pt idx="14">
                  <c:v>97.210859276754519</c:v>
                </c:pt>
                <c:pt idx="15">
                  <c:v>103.9364060623605</c:v>
                </c:pt>
                <c:pt idx="16">
                  <c:v>108.93380959556889</c:v>
                </c:pt>
                <c:pt idx="17">
                  <c:v>104.73989412242727</c:v>
                </c:pt>
                <c:pt idx="18">
                  <c:v>103.16252960883723</c:v>
                </c:pt>
                <c:pt idx="19">
                  <c:v>110.870042471112</c:v>
                </c:pt>
                <c:pt idx="20">
                  <c:v>108.87490035240145</c:v>
                </c:pt>
                <c:pt idx="21">
                  <c:v>106.36671642491314</c:v>
                </c:pt>
                <c:pt idx="22">
                  <c:v>108.00553565064681</c:v>
                </c:pt>
                <c:pt idx="23">
                  <c:v>102.13025717415647</c:v>
                </c:pt>
                <c:pt idx="24">
                  <c:v>102.02279798768726</c:v>
                </c:pt>
                <c:pt idx="25">
                  <c:v>89.596367762319588</c:v>
                </c:pt>
                <c:pt idx="26">
                  <c:v>102.00446910664411</c:v>
                </c:pt>
                <c:pt idx="27">
                  <c:v>78.767045686296782</c:v>
                </c:pt>
                <c:pt idx="28">
                  <c:v>90.374258967090697</c:v>
                </c:pt>
                <c:pt idx="29">
                  <c:v>94.731373437118805</c:v>
                </c:pt>
                <c:pt idx="30">
                  <c:v>99.011040407972089</c:v>
                </c:pt>
                <c:pt idx="31">
                  <c:v>117.24235243521373</c:v>
                </c:pt>
                <c:pt idx="32">
                  <c:v>110.8623828601047</c:v>
                </c:pt>
                <c:pt idx="33">
                  <c:v>111.14238211929354</c:v>
                </c:pt>
                <c:pt idx="34">
                  <c:v>111.51237350146424</c:v>
                </c:pt>
                <c:pt idx="35">
                  <c:v>94.754669692186184</c:v>
                </c:pt>
                <c:pt idx="36">
                  <c:v>106.3076770782335</c:v>
                </c:pt>
                <c:pt idx="37">
                  <c:v>93.990016268836911</c:v>
                </c:pt>
                <c:pt idx="38">
                  <c:v>101.5861955189804</c:v>
                </c:pt>
                <c:pt idx="39">
                  <c:v>93.828284496619574</c:v>
                </c:pt>
                <c:pt idx="40">
                  <c:v>103.46711874589099</c:v>
                </c:pt>
                <c:pt idx="41">
                  <c:v>104.17243444855376</c:v>
                </c:pt>
                <c:pt idx="42">
                  <c:v>112.50037698352247</c:v>
                </c:pt>
                <c:pt idx="43">
                  <c:v>118.67513837108763</c:v>
                </c:pt>
                <c:pt idx="44">
                  <c:v>98.607567408040822</c:v>
                </c:pt>
                <c:pt idx="45">
                  <c:v>115.13907675702193</c:v>
                </c:pt>
                <c:pt idx="46">
                  <c:v>120.35027394366715</c:v>
                </c:pt>
                <c:pt idx="47">
                  <c:v>107.3165087371855</c:v>
                </c:pt>
                <c:pt idx="48">
                  <c:v>113.00745517318119</c:v>
                </c:pt>
                <c:pt idx="49">
                  <c:v>103.6074608230016</c:v>
                </c:pt>
                <c:pt idx="50">
                  <c:v>60.305062801061126</c:v>
                </c:pt>
                <c:pt idx="51">
                  <c:v>116.71691367763786</c:v>
                </c:pt>
                <c:pt idx="52">
                  <c:v>91.825029053160421</c:v>
                </c:pt>
                <c:pt idx="53">
                  <c:v>86.364521072512375</c:v>
                </c:pt>
                <c:pt idx="54">
                  <c:v>119.09656246252361</c:v>
                </c:pt>
                <c:pt idx="55">
                  <c:v>112.60537063912513</c:v>
                </c:pt>
                <c:pt idx="56">
                  <c:v>117.03590158481434</c:v>
                </c:pt>
                <c:pt idx="57">
                  <c:v>111.84159143203433</c:v>
                </c:pt>
                <c:pt idx="58">
                  <c:v>99.58999740998712</c:v>
                </c:pt>
                <c:pt idx="59">
                  <c:v>107.61205325287027</c:v>
                </c:pt>
                <c:pt idx="60">
                  <c:v>110.30511207337005</c:v>
                </c:pt>
                <c:pt idx="61">
                  <c:v>99.618852769836735</c:v>
                </c:pt>
                <c:pt idx="62">
                  <c:v>103.51636334808533</c:v>
                </c:pt>
                <c:pt idx="63">
                  <c:v>112.52246987329242</c:v>
                </c:pt>
                <c:pt idx="64">
                  <c:v>103.25266276065538</c:v>
                </c:pt>
                <c:pt idx="65">
                  <c:v>119.04809285128952</c:v>
                </c:pt>
                <c:pt idx="66">
                  <c:v>123.19679828058554</c:v>
                </c:pt>
                <c:pt idx="67">
                  <c:v>116.67238928090899</c:v>
                </c:pt>
                <c:pt idx="68">
                  <c:v>111.92736272916247</c:v>
                </c:pt>
                <c:pt idx="69">
                  <c:v>119.81136096884593</c:v>
                </c:pt>
                <c:pt idx="70">
                  <c:v>109.56824410787887</c:v>
                </c:pt>
                <c:pt idx="71">
                  <c:v>106.9377869196307</c:v>
                </c:pt>
                <c:pt idx="72">
                  <c:v>94.490987401995639</c:v>
                </c:pt>
                <c:pt idx="73">
                  <c:v>81.256181031775455</c:v>
                </c:pt>
                <c:pt idx="74">
                  <c:v>91.374811049298145</c:v>
                </c:pt>
                <c:pt idx="75">
                  <c:v>83.22553689391809</c:v>
                </c:pt>
                <c:pt idx="76">
                  <c:v>82.908250724446674</c:v>
                </c:pt>
                <c:pt idx="77">
                  <c:v>83.520553507044269</c:v>
                </c:pt>
                <c:pt idx="78">
                  <c:v>90.004155240548641</c:v>
                </c:pt>
                <c:pt idx="79">
                  <c:v>94.535274991794481</c:v>
                </c:pt>
                <c:pt idx="80">
                  <c:v>89.287361226790239</c:v>
                </c:pt>
                <c:pt idx="81">
                  <c:v>81.21264301879178</c:v>
                </c:pt>
                <c:pt idx="82">
                  <c:v>84.00224225069087</c:v>
                </c:pt>
                <c:pt idx="83">
                  <c:v>83.505513102559021</c:v>
                </c:pt>
                <c:pt idx="84">
                  <c:v>79.746097101124661</c:v>
                </c:pt>
                <c:pt idx="85">
                  <c:v>76.821574759941043</c:v>
                </c:pt>
                <c:pt idx="86">
                  <c:v>86.454219787767613</c:v>
                </c:pt>
                <c:pt idx="87">
                  <c:v>75.735737472581519</c:v>
                </c:pt>
                <c:pt idx="88">
                  <c:v>82.325825011413002</c:v>
                </c:pt>
                <c:pt idx="89">
                  <c:v>80.710319439174327</c:v>
                </c:pt>
                <c:pt idx="90">
                  <c:v>81.322482397860824</c:v>
                </c:pt>
                <c:pt idx="91">
                  <c:v>87.698712997007362</c:v>
                </c:pt>
                <c:pt idx="92">
                  <c:v>87.161948255941141</c:v>
                </c:pt>
                <c:pt idx="93">
                  <c:v>83.121358215393002</c:v>
                </c:pt>
                <c:pt idx="94">
                  <c:v>81.866179781424577</c:v>
                </c:pt>
                <c:pt idx="95">
                  <c:v>85.447579480818533</c:v>
                </c:pt>
                <c:pt idx="96">
                  <c:v>85.258778158668107</c:v>
                </c:pt>
                <c:pt idx="97">
                  <c:v>79.972101935075642</c:v>
                </c:pt>
                <c:pt idx="98">
                  <c:v>86.669431185948895</c:v>
                </c:pt>
                <c:pt idx="99">
                  <c:v>77.43897312898369</c:v>
                </c:pt>
                <c:pt idx="100">
                  <c:v>89.259736818986553</c:v>
                </c:pt>
                <c:pt idx="101">
                  <c:v>79.468325917068512</c:v>
                </c:pt>
                <c:pt idx="102">
                  <c:v>89.831825119102803</c:v>
                </c:pt>
                <c:pt idx="103">
                  <c:v>86.73382773437541</c:v>
                </c:pt>
                <c:pt idx="104">
                  <c:v>84.385357322207568</c:v>
                </c:pt>
                <c:pt idx="105">
                  <c:v>93.189376123396855</c:v>
                </c:pt>
                <c:pt idx="106">
                  <c:v>88.989187736385048</c:v>
                </c:pt>
                <c:pt idx="107">
                  <c:v>86.227032930462926</c:v>
                </c:pt>
                <c:pt idx="108">
                  <c:v>94.694633661086641</c:v>
                </c:pt>
                <c:pt idx="109">
                  <c:v>86.256531763027695</c:v>
                </c:pt>
                <c:pt idx="110">
                  <c:v>87.310336262679627</c:v>
                </c:pt>
                <c:pt idx="111">
                  <c:v>93.150119311039489</c:v>
                </c:pt>
                <c:pt idx="112">
                  <c:v>94.759250199918895</c:v>
                </c:pt>
                <c:pt idx="113">
                  <c:v>88.199438407200816</c:v>
                </c:pt>
                <c:pt idx="114">
                  <c:v>101.67995902212317</c:v>
                </c:pt>
                <c:pt idx="115">
                  <c:v>94.192781100287078</c:v>
                </c:pt>
                <c:pt idx="116">
                  <c:v>94.861188290149926</c:v>
                </c:pt>
                <c:pt idx="117">
                  <c:v>100.84502783394611</c:v>
                </c:pt>
                <c:pt idx="118">
                  <c:v>88.053257472937901</c:v>
                </c:pt>
                <c:pt idx="119">
                  <c:v>92.790322093824145</c:v>
                </c:pt>
                <c:pt idx="120">
                  <c:v>90.939067790664964</c:v>
                </c:pt>
                <c:pt idx="121">
                  <c:v>80.587010341182548</c:v>
                </c:pt>
                <c:pt idx="122">
                  <c:v>86.618134113774374</c:v>
                </c:pt>
                <c:pt idx="123">
                  <c:v>86.277801502240209</c:v>
                </c:pt>
                <c:pt idx="124">
                  <c:v>87.907486467486194</c:v>
                </c:pt>
                <c:pt idx="125">
                  <c:v>88.900194687261632</c:v>
                </c:pt>
                <c:pt idx="126">
                  <c:v>92.677908261254345</c:v>
                </c:pt>
                <c:pt idx="127">
                  <c:v>84.384330395371549</c:v>
                </c:pt>
                <c:pt idx="128">
                  <c:v>91.247314232046207</c:v>
                </c:pt>
                <c:pt idx="129">
                  <c:v>91.502284243864807</c:v>
                </c:pt>
                <c:pt idx="130">
                  <c:v>87.953888911890147</c:v>
                </c:pt>
                <c:pt idx="131">
                  <c:v>89.411721824343545</c:v>
                </c:pt>
                <c:pt idx="132">
                  <c:v>90.640321992221786</c:v>
                </c:pt>
                <c:pt idx="133">
                  <c:v>83.626639416489994</c:v>
                </c:pt>
                <c:pt idx="134">
                  <c:v>94.76346896893601</c:v>
                </c:pt>
                <c:pt idx="135">
                  <c:v>89.88192625359423</c:v>
                </c:pt>
                <c:pt idx="136">
                  <c:v>89.615745204517623</c:v>
                </c:pt>
                <c:pt idx="137">
                  <c:v>95.317358744519524</c:v>
                </c:pt>
                <c:pt idx="138">
                  <c:v>91.683974157901261</c:v>
                </c:pt>
                <c:pt idx="139">
                  <c:v>88.582224541983791</c:v>
                </c:pt>
                <c:pt idx="140">
                  <c:v>95.21463042368508</c:v>
                </c:pt>
                <c:pt idx="141">
                  <c:v>89.858974065428569</c:v>
                </c:pt>
                <c:pt idx="142">
                  <c:v>84.959782986574282</c:v>
                </c:pt>
                <c:pt idx="143">
                  <c:v>85.1346802371922</c:v>
                </c:pt>
                <c:pt idx="144">
                  <c:v>85.087742677002893</c:v>
                </c:pt>
                <c:pt idx="145">
                  <c:v>81.662683189200308</c:v>
                </c:pt>
                <c:pt idx="146">
                  <c:v>90.70055288262455</c:v>
                </c:pt>
                <c:pt idx="147">
                  <c:v>80.440374452090055</c:v>
                </c:pt>
                <c:pt idx="148">
                  <c:v>87.94965459046665</c:v>
                </c:pt>
                <c:pt idx="149">
                  <c:v>84.060009673717957</c:v>
                </c:pt>
                <c:pt idx="150">
                  <c:v>82.795712085286013</c:v>
                </c:pt>
                <c:pt idx="151">
                  <c:v>92.490934926542522</c:v>
                </c:pt>
                <c:pt idx="152">
                  <c:v>87.848778597583973</c:v>
                </c:pt>
                <c:pt idx="153">
                  <c:v>87.013269088022881</c:v>
                </c:pt>
                <c:pt idx="154">
                  <c:v>92.175484211470533</c:v>
                </c:pt>
                <c:pt idx="155">
                  <c:v>94.365811588058037</c:v>
                </c:pt>
                <c:pt idx="156">
                  <c:v>92.275205259608811</c:v>
                </c:pt>
                <c:pt idx="157">
                  <c:v>79.063529912694989</c:v>
                </c:pt>
                <c:pt idx="158">
                  <c:v>99.682328200120637</c:v>
                </c:pt>
                <c:pt idx="159">
                  <c:v>81.897513378230087</c:v>
                </c:pt>
                <c:pt idx="160">
                  <c:v>94.79706312686352</c:v>
                </c:pt>
                <c:pt idx="161">
                  <c:v>93.678903649612096</c:v>
                </c:pt>
                <c:pt idx="162">
                  <c:v>92.305564711862431</c:v>
                </c:pt>
                <c:pt idx="163">
                  <c:v>98.101002237346222</c:v>
                </c:pt>
                <c:pt idx="164">
                  <c:v>94.013817835488382</c:v>
                </c:pt>
                <c:pt idx="165">
                  <c:v>101.12438872496408</c:v>
                </c:pt>
                <c:pt idx="166">
                  <c:v>100.87441561921847</c:v>
                </c:pt>
                <c:pt idx="167">
                  <c:v>98.044028393555791</c:v>
                </c:pt>
                <c:pt idx="168">
                  <c:v>101.27071127899958</c:v>
                </c:pt>
                <c:pt idx="169">
                  <c:v>91.080558596947782</c:v>
                </c:pt>
                <c:pt idx="170">
                  <c:v>103.15454054338488</c:v>
                </c:pt>
                <c:pt idx="171">
                  <c:v>98.218378741349611</c:v>
                </c:pt>
                <c:pt idx="172">
                  <c:v>102.31047937647358</c:v>
                </c:pt>
                <c:pt idx="173">
                  <c:v>99.746182237362845</c:v>
                </c:pt>
                <c:pt idx="174">
                  <c:v>103.65196907032529</c:v>
                </c:pt>
                <c:pt idx="175">
                  <c:v>108.67834875966487</c:v>
                </c:pt>
                <c:pt idx="176">
                  <c:v>93.965665584728669</c:v>
                </c:pt>
                <c:pt idx="177">
                  <c:v>110.06805521969554</c:v>
                </c:pt>
                <c:pt idx="178">
                  <c:v>101.83573494589785</c:v>
                </c:pt>
                <c:pt idx="179">
                  <c:v>99.579909378377849</c:v>
                </c:pt>
                <c:pt idx="180">
                  <c:v>101.09875235551893</c:v>
                </c:pt>
                <c:pt idx="181">
                  <c:v>88.736253892042015</c:v>
                </c:pt>
                <c:pt idx="182">
                  <c:v>91.331641922024502</c:v>
                </c:pt>
                <c:pt idx="183">
                  <c:v>94.662536207945635</c:v>
                </c:pt>
                <c:pt idx="184">
                  <c:v>103.72476581543437</c:v>
                </c:pt>
                <c:pt idx="185">
                  <c:v>95.495978849290353</c:v>
                </c:pt>
                <c:pt idx="186">
                  <c:v>113.20096474537476</c:v>
                </c:pt>
                <c:pt idx="187">
                  <c:v>107.46155074759798</c:v>
                </c:pt>
                <c:pt idx="188">
                  <c:v>109.02930234952433</c:v>
                </c:pt>
                <c:pt idx="189">
                  <c:v>117.26861522400731</c:v>
                </c:pt>
                <c:pt idx="190">
                  <c:v>107.65763210507231</c:v>
                </c:pt>
                <c:pt idx="191">
                  <c:v>111.2198331673725</c:v>
                </c:pt>
                <c:pt idx="192">
                  <c:v>102.11643045260534</c:v>
                </c:pt>
                <c:pt idx="193">
                  <c:v>89.450826675538025</c:v>
                </c:pt>
                <c:pt idx="194">
                  <c:v>96.57522880013839</c:v>
                </c:pt>
                <c:pt idx="195">
                  <c:v>103.69963092473877</c:v>
                </c:pt>
                <c:pt idx="196">
                  <c:v>101.72063033457199</c:v>
                </c:pt>
                <c:pt idx="197">
                  <c:v>107.65763210507231</c:v>
                </c:pt>
                <c:pt idx="198">
                  <c:v>109.63663269523907</c:v>
                </c:pt>
                <c:pt idx="199">
                  <c:v>105.28283139687218</c:v>
                </c:pt>
                <c:pt idx="200">
                  <c:v>110.42823293130579</c:v>
                </c:pt>
                <c:pt idx="201">
                  <c:v>111.61563328540585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4-433D-A2E7-975A51BBDE3C}"/>
            </c:ext>
          </c:extLst>
        </c:ser>
        <c:ser>
          <c:idx val="1"/>
          <c:order val="1"/>
          <c:tx>
            <c:v>Con ajuste estacional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Hoja1!$H$73:$H$274</c:f>
              <c:strCache>
                <c:ptCount val="202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</c:strCache>
            </c:strRef>
          </c:cat>
          <c:val>
            <c:numRef>
              <c:f>Hoja1!$F$73:$F$274</c:f>
              <c:numCache>
                <c:formatCode>_-* #,##0.0_-;\-* #,##0.0_-;_-* "-"?_-;_-@_-</c:formatCode>
                <c:ptCount val="202"/>
                <c:pt idx="0">
                  <c:v>94.907358792581022</c:v>
                </c:pt>
                <c:pt idx="1">
                  <c:v>99.042256785213056</c:v>
                </c:pt>
                <c:pt idx="2">
                  <c:v>99.081779872321917</c:v>
                </c:pt>
                <c:pt idx="3">
                  <c:v>96.271230094557666</c:v>
                </c:pt>
                <c:pt idx="4">
                  <c:v>102.54131825462829</c:v>
                </c:pt>
                <c:pt idx="5">
                  <c:v>103.04996495249732</c:v>
                </c:pt>
                <c:pt idx="6">
                  <c:v>100.46281528143626</c:v>
                </c:pt>
                <c:pt idx="7">
                  <c:v>100.0928383130169</c:v>
                </c:pt>
                <c:pt idx="8">
                  <c:v>99.636383494772602</c:v>
                </c:pt>
                <c:pt idx="9">
                  <c:v>101.51084341549324</c:v>
                </c:pt>
                <c:pt idx="10">
                  <c:v>101.50536929208442</c:v>
                </c:pt>
                <c:pt idx="11">
                  <c:v>101.89784145139735</c:v>
                </c:pt>
                <c:pt idx="12">
                  <c:v>102.11486152400305</c:v>
                </c:pt>
                <c:pt idx="13">
                  <c:v>102.85155111930095</c:v>
                </c:pt>
                <c:pt idx="14">
                  <c:v>96.25253132201523</c:v>
                </c:pt>
                <c:pt idx="15">
                  <c:v>111.77269994402641</c:v>
                </c:pt>
                <c:pt idx="16">
                  <c:v>111.14655217516317</c:v>
                </c:pt>
                <c:pt idx="17">
                  <c:v>104.55198491958208</c:v>
                </c:pt>
                <c:pt idx="18">
                  <c:v>103.77401928209713</c:v>
                </c:pt>
                <c:pt idx="19">
                  <c:v>103.44646091096581</c:v>
                </c:pt>
                <c:pt idx="20">
                  <c:v>103.79785925389184</c:v>
                </c:pt>
                <c:pt idx="21">
                  <c:v>105.84032657417661</c:v>
                </c:pt>
                <c:pt idx="22">
                  <c:v>103.59717608535554</c:v>
                </c:pt>
                <c:pt idx="23">
                  <c:v>102.83961287894938</c:v>
                </c:pt>
                <c:pt idx="24">
                  <c:v>103.3423256706003</c:v>
                </c:pt>
                <c:pt idx="25">
                  <c:v>99.382421295324392</c:v>
                </c:pt>
                <c:pt idx="26">
                  <c:v>99.323638103504237</c:v>
                </c:pt>
                <c:pt idx="27">
                  <c:v>92.042643838955286</c:v>
                </c:pt>
                <c:pt idx="28">
                  <c:v>89.41751361393267</c:v>
                </c:pt>
                <c:pt idx="29">
                  <c:v>94.6996186678698</c:v>
                </c:pt>
                <c:pt idx="30">
                  <c:v>99.256353105467568</c:v>
                </c:pt>
                <c:pt idx="31">
                  <c:v>108.70049354127751</c:v>
                </c:pt>
                <c:pt idx="32">
                  <c:v>108.33855604483422</c:v>
                </c:pt>
                <c:pt idx="33">
                  <c:v>107.10679163107217</c:v>
                </c:pt>
                <c:pt idx="34">
                  <c:v>107.41930226209335</c:v>
                </c:pt>
                <c:pt idx="35">
                  <c:v>99.368416246946907</c:v>
                </c:pt>
                <c:pt idx="36">
                  <c:v>104.18767382511314</c:v>
                </c:pt>
                <c:pt idx="37">
                  <c:v>104.80427458335784</c:v>
                </c:pt>
                <c:pt idx="38">
                  <c:v>102.86632560851183</c:v>
                </c:pt>
                <c:pt idx="39">
                  <c:v>103.13116977836023</c:v>
                </c:pt>
                <c:pt idx="40">
                  <c:v>102.6442048087534</c:v>
                </c:pt>
                <c:pt idx="41">
                  <c:v>107.74744836509542</c:v>
                </c:pt>
                <c:pt idx="42">
                  <c:v>108.83835819454453</c:v>
                </c:pt>
                <c:pt idx="43">
                  <c:v>109.44942646759412</c:v>
                </c:pt>
                <c:pt idx="44">
                  <c:v>98.779802221208143</c:v>
                </c:pt>
                <c:pt idx="45">
                  <c:v>108.01784587381304</c:v>
                </c:pt>
                <c:pt idx="46">
                  <c:v>116.88678780333611</c:v>
                </c:pt>
                <c:pt idx="47">
                  <c:v>112.53702395092495</c:v>
                </c:pt>
                <c:pt idx="48">
                  <c:v>110.74023558451623</c:v>
                </c:pt>
                <c:pt idx="49">
                  <c:v>112.49971027751549</c:v>
                </c:pt>
                <c:pt idx="50">
                  <c:v>67.797833953941975</c:v>
                </c:pt>
                <c:pt idx="51">
                  <c:v>119.27123030145306</c:v>
                </c:pt>
                <c:pt idx="52">
                  <c:v>94.20513325681091</c:v>
                </c:pt>
                <c:pt idx="53">
                  <c:v>89.838651709038913</c:v>
                </c:pt>
                <c:pt idx="54">
                  <c:v>111.59035953196963</c:v>
                </c:pt>
                <c:pt idx="55">
                  <c:v>110.12122412774279</c:v>
                </c:pt>
                <c:pt idx="56">
                  <c:v>110.58959862324468</c:v>
                </c:pt>
                <c:pt idx="57">
                  <c:v>105.04371578114926</c:v>
                </c:pt>
                <c:pt idx="58">
                  <c:v>103.60939634093822</c:v>
                </c:pt>
                <c:pt idx="59">
                  <c:v>106.07144163652846</c:v>
                </c:pt>
                <c:pt idx="60">
                  <c:v>111.3751065987298</c:v>
                </c:pt>
                <c:pt idx="61">
                  <c:v>110.77859592025101</c:v>
                </c:pt>
                <c:pt idx="62">
                  <c:v>105.36439108113471</c:v>
                </c:pt>
                <c:pt idx="63">
                  <c:v>116.85374579604031</c:v>
                </c:pt>
                <c:pt idx="64">
                  <c:v>108.28674149088388</c:v>
                </c:pt>
                <c:pt idx="65">
                  <c:v>119.40131887429249</c:v>
                </c:pt>
                <c:pt idx="66">
                  <c:v>115.41610256667749</c:v>
                </c:pt>
                <c:pt idx="67">
                  <c:v>114.84734166000177</c:v>
                </c:pt>
                <c:pt idx="68">
                  <c:v>105.69420780057945</c:v>
                </c:pt>
                <c:pt idx="69">
                  <c:v>116.84118131473571</c:v>
                </c:pt>
                <c:pt idx="70">
                  <c:v>111.28037448919321</c:v>
                </c:pt>
                <c:pt idx="71">
                  <c:v>105.31257323723369</c:v>
                </c:pt>
                <c:pt idx="72">
                  <c:v>98.664566491501787</c:v>
                </c:pt>
                <c:pt idx="73">
                  <c:v>91.555081700633863</c:v>
                </c:pt>
                <c:pt idx="74">
                  <c:v>89.521490960290933</c:v>
                </c:pt>
                <c:pt idx="75">
                  <c:v>86.847192329181098</c:v>
                </c:pt>
                <c:pt idx="76">
                  <c:v>87.278109551194021</c:v>
                </c:pt>
                <c:pt idx="77">
                  <c:v>83.777270074106227</c:v>
                </c:pt>
                <c:pt idx="78">
                  <c:v>85.522970074947096</c:v>
                </c:pt>
                <c:pt idx="79">
                  <c:v>90.503892681562334</c:v>
                </c:pt>
                <c:pt idx="80">
                  <c:v>83.659471802016199</c:v>
                </c:pt>
                <c:pt idx="81">
                  <c:v>81.512133909249073</c:v>
                </c:pt>
                <c:pt idx="82">
                  <c:v>83.128876557804489</c:v>
                </c:pt>
                <c:pt idx="83">
                  <c:v>81.229054548679755</c:v>
                </c:pt>
                <c:pt idx="84">
                  <c:v>83.773732823608228</c:v>
                </c:pt>
                <c:pt idx="85">
                  <c:v>86.249950922451404</c:v>
                </c:pt>
                <c:pt idx="86">
                  <c:v>83.854494625776269</c:v>
                </c:pt>
                <c:pt idx="87">
                  <c:v>82.524053948480073</c:v>
                </c:pt>
                <c:pt idx="88">
                  <c:v>82.826454987354069</c:v>
                </c:pt>
                <c:pt idx="89">
                  <c:v>81.02455329269543</c:v>
                </c:pt>
                <c:pt idx="90">
                  <c:v>80.435706873597695</c:v>
                </c:pt>
                <c:pt idx="91">
                  <c:v>81.483869625046552</c:v>
                </c:pt>
                <c:pt idx="92">
                  <c:v>82.003356845259475</c:v>
                </c:pt>
                <c:pt idx="93">
                  <c:v>83.681101762855107</c:v>
                </c:pt>
                <c:pt idx="94">
                  <c:v>81.617675974572094</c:v>
                </c:pt>
                <c:pt idx="95">
                  <c:v>86.105056746983635</c:v>
                </c:pt>
                <c:pt idx="96">
                  <c:v>85.821276448745763</c:v>
                </c:pt>
                <c:pt idx="97">
                  <c:v>85.97055520331692</c:v>
                </c:pt>
                <c:pt idx="98">
                  <c:v>86.631753577849963</c:v>
                </c:pt>
                <c:pt idx="99">
                  <c:v>84.141175517007198</c:v>
                </c:pt>
                <c:pt idx="100">
                  <c:v>86.372378762440334</c:v>
                </c:pt>
                <c:pt idx="101">
                  <c:v>82.775256512426182</c:v>
                </c:pt>
                <c:pt idx="102">
                  <c:v>86.083806705797116</c:v>
                </c:pt>
                <c:pt idx="103">
                  <c:v>81.603169733078587</c:v>
                </c:pt>
                <c:pt idx="104">
                  <c:v>86.615830157311294</c:v>
                </c:pt>
                <c:pt idx="105">
                  <c:v>87.273104426640614</c:v>
                </c:pt>
                <c:pt idx="106">
                  <c:v>89.128209172764613</c:v>
                </c:pt>
                <c:pt idx="107">
                  <c:v>89.522533939495148</c:v>
                </c:pt>
                <c:pt idx="108">
                  <c:v>91.894073091646192</c:v>
                </c:pt>
                <c:pt idx="109">
                  <c:v>94.099980532622951</c:v>
                </c:pt>
                <c:pt idx="110">
                  <c:v>92.221954639103672</c:v>
                </c:pt>
                <c:pt idx="111">
                  <c:v>94.046234060528946</c:v>
                </c:pt>
                <c:pt idx="112">
                  <c:v>91.67298643721989</c:v>
                </c:pt>
                <c:pt idx="113">
                  <c:v>94.688998942808496</c:v>
                </c:pt>
                <c:pt idx="114">
                  <c:v>95.250900812631286</c:v>
                </c:pt>
                <c:pt idx="115">
                  <c:v>93.097951582673346</c:v>
                </c:pt>
                <c:pt idx="116">
                  <c:v>94.307454909946699</c:v>
                </c:pt>
                <c:pt idx="117">
                  <c:v>95.449786769968398</c:v>
                </c:pt>
                <c:pt idx="118">
                  <c:v>91.578804870862513</c:v>
                </c:pt>
                <c:pt idx="119">
                  <c:v>92.121718536036852</c:v>
                </c:pt>
                <c:pt idx="120">
                  <c:v>87.864800454531206</c:v>
                </c:pt>
                <c:pt idx="121">
                  <c:v>88.212982446207917</c:v>
                </c:pt>
                <c:pt idx="122">
                  <c:v>88.336943896724478</c:v>
                </c:pt>
                <c:pt idx="123">
                  <c:v>89.557532554748974</c:v>
                </c:pt>
                <c:pt idx="124">
                  <c:v>88.379543995099823</c:v>
                </c:pt>
                <c:pt idx="125">
                  <c:v>91.670407052798481</c:v>
                </c:pt>
                <c:pt idx="126">
                  <c:v>86.896564540480753</c:v>
                </c:pt>
                <c:pt idx="127">
                  <c:v>86.993594182149451</c:v>
                </c:pt>
                <c:pt idx="128">
                  <c:v>87.96780134294481</c:v>
                </c:pt>
                <c:pt idx="129">
                  <c:v>86.082584320997029</c:v>
                </c:pt>
                <c:pt idx="130">
                  <c:v>94.434583794580433</c:v>
                </c:pt>
                <c:pt idx="131">
                  <c:v>84.684006127630198</c:v>
                </c:pt>
                <c:pt idx="132">
                  <c:v>90.953166752056916</c:v>
                </c:pt>
                <c:pt idx="133">
                  <c:v>91.706748972557477</c:v>
                </c:pt>
                <c:pt idx="134">
                  <c:v>92.496762839926987</c:v>
                </c:pt>
                <c:pt idx="135">
                  <c:v>93.258908752973355</c:v>
                </c:pt>
                <c:pt idx="136">
                  <c:v>93.701057228200909</c:v>
                </c:pt>
                <c:pt idx="137">
                  <c:v>94.612369277874237</c:v>
                </c:pt>
                <c:pt idx="138">
                  <c:v>86.413261145051109</c:v>
                </c:pt>
                <c:pt idx="139">
                  <c:v>90.938101871566147</c:v>
                </c:pt>
                <c:pt idx="140">
                  <c:v>92.66481461537569</c:v>
                </c:pt>
                <c:pt idx="141">
                  <c:v>87.583991921527243</c:v>
                </c:pt>
                <c:pt idx="142">
                  <c:v>87.359088428210512</c:v>
                </c:pt>
                <c:pt idx="143">
                  <c:v>79.922206315417313</c:v>
                </c:pt>
                <c:pt idx="144">
                  <c:v>88.882788575757147</c:v>
                </c:pt>
                <c:pt idx="145">
                  <c:v>87.963733760370133</c:v>
                </c:pt>
                <c:pt idx="146">
                  <c:v>87.145724833526188</c:v>
                </c:pt>
                <c:pt idx="147">
                  <c:v>85.034934660391087</c:v>
                </c:pt>
                <c:pt idx="148">
                  <c:v>88.988733829132968</c:v>
                </c:pt>
                <c:pt idx="149">
                  <c:v>83.410828642747887</c:v>
                </c:pt>
                <c:pt idx="150">
                  <c:v>84.370857836926689</c:v>
                </c:pt>
                <c:pt idx="151">
                  <c:v>87.760794792457247</c:v>
                </c:pt>
                <c:pt idx="152">
                  <c:v>85.592173093883545</c:v>
                </c:pt>
                <c:pt idx="153">
                  <c:v>87.36656462910247</c:v>
                </c:pt>
                <c:pt idx="154">
                  <c:v>90.609637624876243</c:v>
                </c:pt>
                <c:pt idx="155">
                  <c:v>92.044556381265153</c:v>
                </c:pt>
                <c:pt idx="156">
                  <c:v>93.341873234537502</c:v>
                </c:pt>
                <c:pt idx="157">
                  <c:v>88.653579137339491</c:v>
                </c:pt>
                <c:pt idx="158">
                  <c:v>93.671134777255944</c:v>
                </c:pt>
                <c:pt idx="159">
                  <c:v>92.546889679359822</c:v>
                </c:pt>
                <c:pt idx="160">
                  <c:v>92.63991211702016</c:v>
                </c:pt>
                <c:pt idx="161">
                  <c:v>93.307246665806915</c:v>
                </c:pt>
                <c:pt idx="162">
                  <c:v>93.876451527035968</c:v>
                </c:pt>
                <c:pt idx="163">
                  <c:v>92.83603044927456</c:v>
                </c:pt>
                <c:pt idx="164">
                  <c:v>95.164036106220635</c:v>
                </c:pt>
                <c:pt idx="165">
                  <c:v>97.155385632744469</c:v>
                </c:pt>
                <c:pt idx="166">
                  <c:v>98.739827099609386</c:v>
                </c:pt>
                <c:pt idx="167">
                  <c:v>98.835106004700208</c:v>
                </c:pt>
                <c:pt idx="168">
                  <c:v>100.10471173578892</c:v>
                </c:pt>
                <c:pt idx="169">
                  <c:v>101.61387747111684</c:v>
                </c:pt>
                <c:pt idx="170">
                  <c:v>103.30787265425099</c:v>
                </c:pt>
                <c:pt idx="171">
                  <c:v>103.06680467621435</c:v>
                </c:pt>
                <c:pt idx="172">
                  <c:v>100.34935723758356</c:v>
                </c:pt>
                <c:pt idx="173">
                  <c:v>102.8208141103153</c:v>
                </c:pt>
                <c:pt idx="174">
                  <c:v>101.66709247777395</c:v>
                </c:pt>
                <c:pt idx="175">
                  <c:v>102.88397478568405</c:v>
                </c:pt>
                <c:pt idx="176">
                  <c:v>98.08769292401297</c:v>
                </c:pt>
                <c:pt idx="177">
                  <c:v>101.81277848025105</c:v>
                </c:pt>
                <c:pt idx="178">
                  <c:v>99.3197110978616</c:v>
                </c:pt>
                <c:pt idx="179">
                  <c:v>100.32460720060033</c:v>
                </c:pt>
                <c:pt idx="180">
                  <c:v>101.6341522573783</c:v>
                </c:pt>
                <c:pt idx="181">
                  <c:v>99.866316965151114</c:v>
                </c:pt>
                <c:pt idx="182">
                  <c:v>93.020782024590929</c:v>
                </c:pt>
                <c:pt idx="183">
                  <c:v>98.251221271627955</c:v>
                </c:pt>
                <c:pt idx="184">
                  <c:v>101.56232866332526</c:v>
                </c:pt>
                <c:pt idx="185">
                  <c:v>101.67691988663212</c:v>
                </c:pt>
                <c:pt idx="186">
                  <c:v>107.84539124384189</c:v>
                </c:pt>
                <c:pt idx="187">
                  <c:v>104.12122492874785</c:v>
                </c:pt>
                <c:pt idx="188">
                  <c:v>109.2876807398589</c:v>
                </c:pt>
                <c:pt idx="189">
                  <c:v>108.87494544363805</c:v>
                </c:pt>
                <c:pt idx="190">
                  <c:v>108.50612364761921</c:v>
                </c:pt>
                <c:pt idx="191">
                  <c:v>108.79113020100584</c:v>
                </c:pt>
                <c:pt idx="192">
                  <c:v>103.94899633248326</c:v>
                </c:pt>
                <c:pt idx="193">
                  <c:v>101.86967567175404</c:v>
                </c:pt>
                <c:pt idx="194">
                  <c:v>95.697468477555148</c:v>
                </c:pt>
                <c:pt idx="195">
                  <c:v>107.09291878287421</c:v>
                </c:pt>
                <c:pt idx="196">
                  <c:v>106.04092348051439</c:v>
                </c:pt>
                <c:pt idx="197">
                  <c:v>106.55902123864429</c:v>
                </c:pt>
                <c:pt idx="198">
                  <c:v>103.78472347400259</c:v>
                </c:pt>
                <c:pt idx="199">
                  <c:v>104.63475744787092</c:v>
                </c:pt>
                <c:pt idx="200">
                  <c:v>106.69980685584667</c:v>
                </c:pt>
                <c:pt idx="201">
                  <c:v>107.32142619521012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4-433D-A2E7-975A51BBDE3C}"/>
            </c:ext>
          </c:extLst>
        </c:ser>
        <c:ser>
          <c:idx val="2"/>
          <c:order val="2"/>
          <c:tx>
            <c:v>Tendencia-Ciclo</c:v>
          </c:tx>
          <c:spPr>
            <a:ln w="222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Hoja1!$H$73:$H$274</c:f>
              <c:strCache>
                <c:ptCount val="202"/>
                <c:pt idx="0">
                  <c:v>E-04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E-05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</c:v>
                </c:pt>
                <c:pt idx="24">
                  <c:v>E-06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</c:v>
                </c:pt>
                <c:pt idx="36">
                  <c:v>E-07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</c:v>
                </c:pt>
                <c:pt idx="48">
                  <c:v>E-08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</c:v>
                </c:pt>
                <c:pt idx="60">
                  <c:v>E-09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</c:v>
                </c:pt>
                <c:pt idx="72">
                  <c:v>E-10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</c:v>
                </c:pt>
                <c:pt idx="84">
                  <c:v>E-11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</c:v>
                </c:pt>
                <c:pt idx="96">
                  <c:v>E-12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</c:v>
                </c:pt>
                <c:pt idx="108">
                  <c:v>E-13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</c:v>
                </c:pt>
                <c:pt idx="120">
                  <c:v>E-14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</c:v>
                </c:pt>
                <c:pt idx="132">
                  <c:v>E-15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</c:v>
                </c:pt>
                <c:pt idx="144">
                  <c:v>E-16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</c:v>
                </c:pt>
                <c:pt idx="156">
                  <c:v>E-17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</c:v>
                </c:pt>
                <c:pt idx="168">
                  <c:v>E-18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</c:v>
                </c:pt>
                <c:pt idx="180">
                  <c:v>E-19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</c:v>
                </c:pt>
                <c:pt idx="192">
                  <c:v>E-20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</c:strCache>
            </c:strRef>
          </c:cat>
          <c:val>
            <c:numRef>
              <c:f>Hoja1!$G$73:$G$255</c:f>
              <c:numCache>
                <c:formatCode>_-* #,##0.0_-;\-* #,##0.0_-;_-* "-"?_-;_-@_-</c:formatCode>
                <c:ptCount val="1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4-433D-A2E7-975A51BBD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90680"/>
        <c:axId val="408531968"/>
      </c:lineChart>
      <c:catAx>
        <c:axId val="40859068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31968"/>
        <c:crosses val="autoZero"/>
        <c:auto val="1"/>
        <c:lblAlgn val="ctr"/>
        <c:lblOffset val="100"/>
        <c:tickLblSkip val="6"/>
        <c:tickMarkSkip val="12"/>
        <c:noMultiLvlLbl val="0"/>
      </c:catAx>
      <c:valAx>
        <c:axId val="408531968"/>
        <c:scaling>
          <c:orientation val="minMax"/>
          <c:max val="140"/>
          <c:min val="50"/>
        </c:scaling>
        <c:delete val="0"/>
        <c:axPos val="l"/>
        <c:numFmt formatCode="_-* #,##0.0_-;\-* #,##0.0_-;_-* &quot;-&quot;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366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4.1049440480464348E-2"/>
          <c:y val="0.80590675086673735"/>
          <c:w val="0.52366673069829206"/>
          <c:h val="4.756996322084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9C4234-8203-462A-9B18-5F38AE7DE35A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4FE17B-EA61-4636-A9C6-514B07C35C00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A7C69F-0F31-E86E-620F-8D23431332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400" b="1" i="0" u="none" strike="noStrike" baseline="0">
              <a:solidFill>
                <a:srgbClr val="00003A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FAENA BOVINA EN TONELADAS DE RES CON HUESO</a:t>
          </a:r>
        </a:p>
        <a:p xmlns:a="http://schemas.openxmlformats.org/drawingml/2006/main">
          <a:pPr algn="l" rtl="0">
            <a:defRPr sz="1000"/>
          </a:pPr>
          <a:r>
            <a:rPr lang="es-ES" sz="1800" b="0" i="0" u="none" strike="noStrike" baseline="0">
              <a:solidFill>
                <a:schemeClr val="accent2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Índice con ajuste estacional 2004 = 100 | E'04 a A'26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200" b="0" i="0" u="none" strike="noStrike" baseline="0">
              <a:solidFill>
                <a:srgbClr val="00003A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Elaborado por OUTLIER en base a datos SAGyP y CENSUS-X13.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930A95-5613-43AF-890C-9F4CB5147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400" b="1" i="0" u="none" strike="noStrike" baseline="0">
              <a:solidFill>
                <a:schemeClr val="accent6">
                  <a:lumMod val="75000"/>
                </a:schemeClr>
              </a:solidFill>
              <a:latin typeface="Tahoma"/>
              <a:ea typeface="Tahoma"/>
              <a:cs typeface="Tahoma"/>
            </a:rPr>
            <a:t>FAENA BOVINA EN TONELADAS DE RES CON HUESO</a:t>
          </a:r>
        </a:p>
        <a:p xmlns:a="http://schemas.openxmlformats.org/drawingml/2006/main">
          <a:pPr algn="l" rtl="0">
            <a:defRPr sz="1000"/>
          </a:pPr>
          <a:r>
            <a:rPr lang="es-ES" sz="1800" b="0" i="0" u="none" strike="noStrike" baseline="0">
              <a:solidFill>
                <a:srgbClr val="808080"/>
              </a:solidFill>
              <a:latin typeface="Tahoma"/>
              <a:ea typeface="Tahoma"/>
              <a:cs typeface="Tahoma"/>
            </a:rPr>
            <a:t>Índices 2004 = 100 | E'04 a O'20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4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Fuente: Elaborado por [CL] en base a datos del INDEC, BCRA y CENSUS-X13.</a:t>
          </a:r>
        </a:p>
      </cdr:txBody>
    </cdr:sp>
  </cdr:relSizeAnchor>
  <cdr:relSizeAnchor xmlns:cdr="http://schemas.openxmlformats.org/drawingml/2006/chartDrawing">
    <cdr:from>
      <cdr:x>0.80943</cdr:x>
      <cdr:y>0.0086</cdr:y>
    </cdr:from>
    <cdr:to>
      <cdr:x>0.98968</cdr:x>
      <cdr:y>0.1052</cdr:y>
    </cdr:to>
    <cdr:pic>
      <cdr:nvPicPr>
        <cdr:cNvPr id="4" name="Imagen 3">
          <a:extLst xmlns:a="http://schemas.openxmlformats.org/drawingml/2006/main">
            <a:ext uri="{FF2B5EF4-FFF2-40B4-BE49-F238E27FC236}">
              <a16:creationId xmlns:a16="http://schemas.microsoft.com/office/drawing/2014/main" id="{8A42BE45-2E7C-4B2A-9670-CE761FC03724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185123" y="52192"/>
          <a:ext cx="1822651" cy="58611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52D9-CEA1-4F0A-A468-E9EFD59EC9D2}">
  <dimension ref="A1:V471"/>
  <sheetViews>
    <sheetView tabSelected="1" topLeftCell="A458" workbookViewId="0">
      <selection activeCell="N471" sqref="G471:N471"/>
    </sheetView>
  </sheetViews>
  <sheetFormatPr baseColWidth="10" defaultRowHeight="14.25" x14ac:dyDescent="0.2"/>
  <cols>
    <col min="1" max="1" width="11.42578125" style="4"/>
    <col min="2" max="2" width="12.140625" style="14" bestFit="1" customWidth="1"/>
    <col min="3" max="4" width="12.140625" style="4" bestFit="1" customWidth="1"/>
    <col min="5" max="12" width="11.42578125" style="4"/>
    <col min="13" max="13" width="13.7109375" style="4" bestFit="1" customWidth="1"/>
    <col min="14" max="16384" width="11.42578125" style="4"/>
  </cols>
  <sheetData>
    <row r="1" spans="1:12" x14ac:dyDescent="0.2">
      <c r="A1" s="1">
        <v>35796</v>
      </c>
      <c r="B1" s="13">
        <v>215.19791307583</v>
      </c>
      <c r="C1" s="2">
        <v>209.09226038897199</v>
      </c>
      <c r="D1" s="2"/>
      <c r="E1" s="3">
        <f>+B1/AVERAGE(B$73:B$84)*100</f>
        <v>85.17535939594498</v>
      </c>
      <c r="F1" s="3">
        <f t="shared" ref="F1" si="0">+C1/AVERAGE(C$73:C$84)*100</f>
        <v>83.035853238203643</v>
      </c>
      <c r="G1" s="3"/>
      <c r="H1" s="5" t="s">
        <v>8</v>
      </c>
      <c r="I1" s="6"/>
      <c r="J1" s="6"/>
      <c r="K1" s="6"/>
      <c r="L1" s="6"/>
    </row>
    <row r="2" spans="1:12" x14ac:dyDescent="0.2">
      <c r="A2" s="1">
        <v>35827</v>
      </c>
      <c r="B2" s="13">
        <v>191.886543796833</v>
      </c>
      <c r="C2" s="2">
        <v>206.630260865596</v>
      </c>
      <c r="D2" s="2"/>
      <c r="E2" s="3">
        <f t="shared" ref="E2:E65" si="1">+B2/AVERAGE(B$73:B$84)*100</f>
        <v>75.948716683798864</v>
      </c>
      <c r="F2" s="3">
        <f t="shared" ref="F2:F65" si="2">+C2/AVERAGE(C$73:C$84)*100</f>
        <v>82.058130625634092</v>
      </c>
      <c r="G2" s="3"/>
      <c r="H2" s="5" t="s">
        <v>0</v>
      </c>
      <c r="I2" s="6"/>
      <c r="J2" s="6"/>
      <c r="K2" s="6"/>
      <c r="L2" s="6"/>
    </row>
    <row r="3" spans="1:12" x14ac:dyDescent="0.2">
      <c r="A3" s="1">
        <v>35855</v>
      </c>
      <c r="B3" s="13">
        <v>211.44375384434099</v>
      </c>
      <c r="C3" s="2">
        <v>205.51006830308799</v>
      </c>
      <c r="D3" s="2"/>
      <c r="E3" s="3">
        <f t="shared" si="1"/>
        <v>83.689462729005626</v>
      </c>
      <c r="F3" s="3">
        <f t="shared" si="2"/>
        <v>81.613273675664232</v>
      </c>
      <c r="G3" s="3"/>
      <c r="H3" s="5" t="s">
        <v>1</v>
      </c>
      <c r="I3" s="6"/>
      <c r="J3" s="6"/>
      <c r="K3" s="6"/>
      <c r="L3" s="6"/>
    </row>
    <row r="4" spans="1:12" x14ac:dyDescent="0.2">
      <c r="A4" s="1">
        <v>35886</v>
      </c>
      <c r="B4" s="13">
        <v>200.01187287296099</v>
      </c>
      <c r="C4" s="2">
        <v>208.14690261177299</v>
      </c>
      <c r="D4" s="2"/>
      <c r="E4" s="3">
        <f t="shared" si="1"/>
        <v>79.164722891190166</v>
      </c>
      <c r="F4" s="3">
        <f t="shared" si="2"/>
        <v>82.660427627044911</v>
      </c>
      <c r="G4" s="3"/>
      <c r="H4" s="5" t="s">
        <v>2</v>
      </c>
      <c r="I4" s="6"/>
      <c r="J4" s="6"/>
      <c r="K4" s="6"/>
      <c r="L4" s="6"/>
    </row>
    <row r="5" spans="1:12" x14ac:dyDescent="0.2">
      <c r="A5" s="1">
        <v>35916</v>
      </c>
      <c r="B5" s="13">
        <v>193.45177876829396</v>
      </c>
      <c r="C5" s="2">
        <v>206.82577875017799</v>
      </c>
      <c r="D5" s="2"/>
      <c r="E5" s="3">
        <f t="shared" si="1"/>
        <v>76.568236870253045</v>
      </c>
      <c r="F5" s="3">
        <f t="shared" si="2"/>
        <v>82.135775749080523</v>
      </c>
      <c r="G5" s="3"/>
      <c r="H5" s="5" t="s">
        <v>1</v>
      </c>
      <c r="I5" s="6"/>
      <c r="J5" s="6"/>
      <c r="K5" s="6"/>
      <c r="L5" s="6"/>
    </row>
    <row r="6" spans="1:12" x14ac:dyDescent="0.2">
      <c r="A6" s="1">
        <v>35947</v>
      </c>
      <c r="B6" s="13">
        <v>195.32238064741301</v>
      </c>
      <c r="C6" s="2">
        <v>198.808609520342</v>
      </c>
      <c r="D6" s="2"/>
      <c r="E6" s="3">
        <f t="shared" si="1"/>
        <v>77.308621314801783</v>
      </c>
      <c r="F6" s="3">
        <f t="shared" si="2"/>
        <v>78.951953993478057</v>
      </c>
      <c r="G6" s="3"/>
      <c r="H6" s="5" t="s">
        <v>3</v>
      </c>
      <c r="I6" s="6"/>
      <c r="J6" s="6"/>
      <c r="K6" s="6"/>
      <c r="L6" s="6"/>
    </row>
    <row r="7" spans="1:12" x14ac:dyDescent="0.2">
      <c r="A7" s="1">
        <v>35977</v>
      </c>
      <c r="B7" s="13">
        <v>195.52013159967501</v>
      </c>
      <c r="C7" s="2">
        <v>186.57523695387201</v>
      </c>
      <c r="D7" s="2"/>
      <c r="E7" s="3">
        <f t="shared" si="1"/>
        <v>77.386891165048283</v>
      </c>
      <c r="F7" s="3">
        <f t="shared" si="2"/>
        <v>74.09377068651122</v>
      </c>
      <c r="G7" s="3"/>
      <c r="H7" s="5" t="s">
        <v>3</v>
      </c>
      <c r="I7" s="6"/>
      <c r="J7" s="6"/>
      <c r="K7" s="6"/>
      <c r="L7" s="6"/>
    </row>
    <row r="8" spans="1:12" x14ac:dyDescent="0.2">
      <c r="A8" s="1">
        <v>36008</v>
      </c>
      <c r="B8" s="13">
        <v>194.33206058233901</v>
      </c>
      <c r="C8" s="2">
        <v>203.958308588938</v>
      </c>
      <c r="D8" s="2"/>
      <c r="E8" s="3">
        <f t="shared" si="1"/>
        <v>76.916652516154699</v>
      </c>
      <c r="F8" s="3">
        <f t="shared" si="2"/>
        <v>80.99703043621858</v>
      </c>
      <c r="G8" s="3"/>
      <c r="H8" s="5" t="s">
        <v>2</v>
      </c>
      <c r="I8" s="6"/>
      <c r="J8" s="6"/>
      <c r="K8" s="6"/>
      <c r="L8" s="6"/>
    </row>
    <row r="9" spans="1:12" x14ac:dyDescent="0.2">
      <c r="A9" s="1">
        <v>36039</v>
      </c>
      <c r="B9" s="13">
        <v>204.34305211909</v>
      </c>
      <c r="C9" s="2">
        <v>201.89678798144001</v>
      </c>
      <c r="D9" s="2"/>
      <c r="E9" s="3">
        <f t="shared" si="1"/>
        <v>80.87900414803164</v>
      </c>
      <c r="F9" s="3">
        <f t="shared" si="2"/>
        <v>80.178348184215125</v>
      </c>
      <c r="G9" s="3"/>
      <c r="H9" s="5" t="s">
        <v>4</v>
      </c>
      <c r="I9" s="6"/>
      <c r="J9" s="6"/>
      <c r="K9" s="6"/>
      <c r="L9" s="6"/>
    </row>
    <row r="10" spans="1:12" x14ac:dyDescent="0.2">
      <c r="A10" s="1">
        <v>36069</v>
      </c>
      <c r="B10" s="13">
        <v>214.71931745725499</v>
      </c>
      <c r="C10" s="2">
        <v>208.57165132936899</v>
      </c>
      <c r="D10" s="2"/>
      <c r="E10" s="3">
        <f t="shared" si="1"/>
        <v>84.985931193622747</v>
      </c>
      <c r="F10" s="3">
        <f t="shared" si="2"/>
        <v>82.829106142987129</v>
      </c>
      <c r="G10" s="3"/>
      <c r="H10" s="5" t="s">
        <v>5</v>
      </c>
      <c r="I10" s="6"/>
      <c r="J10" s="6"/>
      <c r="K10" s="6"/>
      <c r="L10" s="6"/>
    </row>
    <row r="11" spans="1:12" x14ac:dyDescent="0.2">
      <c r="A11" s="1">
        <v>36100</v>
      </c>
      <c r="B11" s="13">
        <v>218.55659934114701</v>
      </c>
      <c r="C11" s="2">
        <v>213.62573185601099</v>
      </c>
      <c r="D11" s="2"/>
      <c r="E11" s="3">
        <f t="shared" si="1"/>
        <v>86.50472781619446</v>
      </c>
      <c r="F11" s="3">
        <f t="shared" si="2"/>
        <v>84.8362100314027</v>
      </c>
      <c r="G11" s="3"/>
      <c r="H11" s="5" t="s">
        <v>6</v>
      </c>
      <c r="I11" s="6"/>
      <c r="J11" s="6"/>
      <c r="K11" s="6"/>
      <c r="L11" s="6"/>
    </row>
    <row r="12" spans="1:12" x14ac:dyDescent="0.2">
      <c r="A12" s="1">
        <v>36130</v>
      </c>
      <c r="B12" s="13">
        <v>234.38397665218201</v>
      </c>
      <c r="C12" s="2">
        <v>217.474934180959</v>
      </c>
      <c r="D12" s="2"/>
      <c r="E12" s="3">
        <f t="shared" si="1"/>
        <v>92.769205624060547</v>
      </c>
      <c r="F12" s="3">
        <f t="shared" si="2"/>
        <v>86.364826149206138</v>
      </c>
      <c r="G12" s="3"/>
      <c r="H12" s="5" t="s">
        <v>7</v>
      </c>
      <c r="I12" s="6"/>
      <c r="J12" s="6"/>
      <c r="K12" s="6"/>
      <c r="L12" s="6"/>
    </row>
    <row r="13" spans="1:12" x14ac:dyDescent="0.2">
      <c r="A13" s="1">
        <v>36161</v>
      </c>
      <c r="B13" s="13">
        <v>214.79598441244099</v>
      </c>
      <c r="C13" s="2">
        <v>218.01843825299201</v>
      </c>
      <c r="D13" s="2"/>
      <c r="E13" s="3">
        <f t="shared" si="1"/>
        <v>85.016275983534612</v>
      </c>
      <c r="F13" s="3">
        <f t="shared" si="2"/>
        <v>86.580665436015437</v>
      </c>
      <c r="G13" s="3"/>
      <c r="H13" s="5" t="s">
        <v>9</v>
      </c>
      <c r="I13" s="6">
        <f t="shared" ref="I13:I52" si="3">+E13/E1-1</f>
        <v>-1.8677163623208592E-3</v>
      </c>
      <c r="J13" s="6">
        <f t="shared" ref="J13" si="4">+AVERAGE(B13:B13)/AVERAGE(B1:B1)-1</f>
        <v>-1.8677163623207482E-3</v>
      </c>
      <c r="K13" s="6">
        <f t="shared" ref="K13:K52" si="5">+F13/F12-1</f>
        <v>2.4991573124504285E-3</v>
      </c>
      <c r="L13" s="6">
        <f t="shared" ref="L13" si="6">+F13/F12-1</f>
        <v>2.4991573124504285E-3</v>
      </c>
    </row>
    <row r="14" spans="1:12" x14ac:dyDescent="0.2">
      <c r="A14" s="1">
        <v>36192</v>
      </c>
      <c r="B14" s="13">
        <v>207.69167055094297</v>
      </c>
      <c r="C14" s="2">
        <v>222.33179816990699</v>
      </c>
      <c r="D14" s="2"/>
      <c r="E14" s="3">
        <f t="shared" si="1"/>
        <v>82.20438771860772</v>
      </c>
      <c r="F14" s="3">
        <f t="shared" si="2"/>
        <v>88.293610335832469</v>
      </c>
      <c r="G14" s="3"/>
      <c r="H14" s="5" t="s">
        <v>0</v>
      </c>
      <c r="I14" s="6">
        <f t="shared" si="3"/>
        <v>8.2367040655254353E-2</v>
      </c>
      <c r="J14" s="6">
        <f t="shared" ref="J14" si="7">+AVERAGE(B13:B14)/AVERAGE(B1:B2)-1</f>
        <v>3.7837843795493153E-2</v>
      </c>
      <c r="K14" s="6">
        <f t="shared" si="5"/>
        <v>1.978438131874749E-2</v>
      </c>
      <c r="L14" s="6">
        <f t="shared" ref="L14" si="8">+F14/F12-1</f>
        <v>2.2332982912443011E-2</v>
      </c>
    </row>
    <row r="15" spans="1:12" x14ac:dyDescent="0.2">
      <c r="A15" s="1">
        <v>36220</v>
      </c>
      <c r="B15" s="13">
        <v>237.49892453429899</v>
      </c>
      <c r="C15" s="2">
        <v>223.53451074604601</v>
      </c>
      <c r="D15" s="2"/>
      <c r="E15" s="3">
        <f t="shared" si="1"/>
        <v>94.002102363470186</v>
      </c>
      <c r="F15" s="3">
        <f t="shared" si="2"/>
        <v>88.771238081470855</v>
      </c>
      <c r="G15" s="3"/>
      <c r="H15" s="5" t="s">
        <v>1</v>
      </c>
      <c r="I15" s="6">
        <f t="shared" si="3"/>
        <v>0.12322506679076017</v>
      </c>
      <c r="J15" s="6">
        <f t="shared" ref="J15" si="9">+AVERAGE(B13:B15)/AVERAGE(B1:B3)-1</f>
        <v>6.7027450102268071E-2</v>
      </c>
      <c r="K15" s="6">
        <f t="shared" si="5"/>
        <v>5.4095391933990378E-3</v>
      </c>
      <c r="L15" s="6">
        <f t="shared" ref="L15" si="10">+F15/F12-1</f>
        <v>2.7863333252212463E-2</v>
      </c>
    </row>
    <row r="16" spans="1:12" x14ac:dyDescent="0.2">
      <c r="A16" s="1">
        <v>36251</v>
      </c>
      <c r="B16" s="13">
        <v>211.96796097325301</v>
      </c>
      <c r="C16" s="2">
        <v>220.055600830667</v>
      </c>
      <c r="D16" s="2"/>
      <c r="E16" s="3">
        <f t="shared" si="1"/>
        <v>83.896943972502939</v>
      </c>
      <c r="F16" s="3">
        <f t="shared" si="2"/>
        <v>87.389674495018866</v>
      </c>
      <c r="G16" s="3"/>
      <c r="H16" s="5" t="s">
        <v>2</v>
      </c>
      <c r="I16" s="6">
        <f t="shared" si="3"/>
        <v>5.9776891884243621E-2</v>
      </c>
      <c r="J16" s="6">
        <f t="shared" ref="J16" si="11">+AVERAGE(B13:B16)/AVERAGE(B1:B4)-1</f>
        <v>6.5255761998490369E-2</v>
      </c>
      <c r="K16" s="6">
        <f t="shared" si="5"/>
        <v>-1.5563189342746808E-2</v>
      </c>
      <c r="L16" s="6">
        <f t="shared" ref="L16" si="12">+F16/F12-1</f>
        <v>1.1866501578341238E-2</v>
      </c>
    </row>
    <row r="17" spans="1:12" x14ac:dyDescent="0.2">
      <c r="A17" s="1">
        <v>36281</v>
      </c>
      <c r="B17" s="13">
        <v>222.97329865376599</v>
      </c>
      <c r="C17" s="2">
        <v>236.679832099902</v>
      </c>
      <c r="D17" s="2"/>
      <c r="E17" s="3">
        <f t="shared" si="1"/>
        <v>88.252857925446875</v>
      </c>
      <c r="F17" s="3">
        <f t="shared" si="2"/>
        <v>93.991579440243498</v>
      </c>
      <c r="G17" s="3"/>
      <c r="H17" s="5" t="s">
        <v>1</v>
      </c>
      <c r="I17" s="6">
        <f t="shared" si="3"/>
        <v>0.15260402397659667</v>
      </c>
      <c r="J17" s="6">
        <f t="shared" ref="J17" si="13">+AVERAGE(B13:B17)/AVERAGE(B1:B5)-1</f>
        <v>8.1953205209749802E-2</v>
      </c>
      <c r="K17" s="6">
        <f t="shared" si="5"/>
        <v>7.5545594870031652E-2</v>
      </c>
      <c r="L17" s="6">
        <f t="shared" ref="L17" si="14">+F17/F12-1</f>
        <v>8.8308558369134982E-2</v>
      </c>
    </row>
    <row r="18" spans="1:12" x14ac:dyDescent="0.2">
      <c r="A18" s="1">
        <v>36312</v>
      </c>
      <c r="B18" s="13">
        <v>217.052278210129</v>
      </c>
      <c r="C18" s="2">
        <v>219.61609830352401</v>
      </c>
      <c r="D18" s="2"/>
      <c r="E18" s="3">
        <f t="shared" si="1"/>
        <v>85.909317334977459</v>
      </c>
      <c r="F18" s="3">
        <f t="shared" si="2"/>
        <v>87.215136866156968</v>
      </c>
      <c r="G18" s="3"/>
      <c r="H18" s="5" t="s">
        <v>3</v>
      </c>
      <c r="I18" s="6">
        <f t="shared" si="3"/>
        <v>0.11125144743111526</v>
      </c>
      <c r="J18" s="6">
        <f t="shared" ref="J18" si="15">+AVERAGE(B13:B18)/AVERAGE(B1:B6)-1</f>
        <v>8.6693149638149114E-2</v>
      </c>
      <c r="K18" s="6">
        <f t="shared" si="5"/>
        <v>-7.20962730325726E-2</v>
      </c>
      <c r="L18" s="6">
        <f t="shared" ref="L18" si="16">+F18/F12-1</f>
        <v>9.8455674012682959E-3</v>
      </c>
    </row>
    <row r="19" spans="1:12" x14ac:dyDescent="0.2">
      <c r="A19" s="1">
        <v>36342</v>
      </c>
      <c r="B19" s="13">
        <v>218.123436912626</v>
      </c>
      <c r="C19" s="2">
        <v>216.70440035784901</v>
      </c>
      <c r="D19" s="2"/>
      <c r="E19" s="3">
        <f t="shared" si="1"/>
        <v>86.333282075858236</v>
      </c>
      <c r="F19" s="3">
        <f t="shared" si="2"/>
        <v>86.058827575505674</v>
      </c>
      <c r="G19" s="3"/>
      <c r="H19" s="5" t="s">
        <v>3</v>
      </c>
      <c r="I19" s="6">
        <f t="shared" si="3"/>
        <v>0.11560602546663068</v>
      </c>
      <c r="J19" s="6">
        <f t="shared" ref="J19" si="17">+AVERAGE(B13:B19)/AVERAGE(B1:B7)-1</f>
        <v>9.0722883574844149E-2</v>
      </c>
      <c r="K19" s="6">
        <f t="shared" si="5"/>
        <v>-1.3258126194605424E-2</v>
      </c>
      <c r="L19" s="6">
        <f t="shared" ref="L19" si="18">+F19/F12-1</f>
        <v>-3.5430925684005743E-3</v>
      </c>
    </row>
    <row r="20" spans="1:12" x14ac:dyDescent="0.2">
      <c r="A20" s="1">
        <v>36373</v>
      </c>
      <c r="B20" s="13">
        <v>229.50612103761699</v>
      </c>
      <c r="C20" s="2">
        <v>230.55029533999499</v>
      </c>
      <c r="D20" s="2"/>
      <c r="E20" s="3">
        <f t="shared" si="1"/>
        <v>90.838549796066047</v>
      </c>
      <c r="F20" s="3">
        <f t="shared" si="2"/>
        <v>91.557384535721553</v>
      </c>
      <c r="G20" s="3"/>
      <c r="H20" s="5" t="s">
        <v>2</v>
      </c>
      <c r="I20" s="6">
        <f t="shared" si="3"/>
        <v>0.18099978125006611</v>
      </c>
      <c r="J20" s="6">
        <f t="shared" ref="J20" si="19">+AVERAGE(B13:B20)/AVERAGE(B1:B8)-1</f>
        <v>0.10170714617997789</v>
      </c>
      <c r="K20" s="6">
        <f t="shared" si="5"/>
        <v>6.389300336902215E-2</v>
      </c>
      <c r="L20" s="6">
        <f t="shared" ref="L20" si="20">+F20/F12-1</f>
        <v>6.012353197521203E-2</v>
      </c>
    </row>
    <row r="21" spans="1:12" x14ac:dyDescent="0.2">
      <c r="A21" s="1">
        <v>36404</v>
      </c>
      <c r="B21" s="13">
        <v>231.01609957923301</v>
      </c>
      <c r="C21" s="2">
        <v>228.33917256268501</v>
      </c>
      <c r="D21" s="2"/>
      <c r="E21" s="3">
        <f t="shared" si="1"/>
        <v>91.436199481065501</v>
      </c>
      <c r="F21" s="3">
        <f t="shared" si="2"/>
        <v>90.679291458116438</v>
      </c>
      <c r="G21" s="3"/>
      <c r="H21" s="5" t="s">
        <v>4</v>
      </c>
      <c r="I21" s="6">
        <f t="shared" si="3"/>
        <v>0.13053072851529168</v>
      </c>
      <c r="J21" s="6">
        <f t="shared" ref="J21" si="21">+AVERAGE(B13:B21)/AVERAGE(B1:B9)-1</f>
        <v>0.10497657042054032</v>
      </c>
      <c r="K21" s="6">
        <f t="shared" si="5"/>
        <v>-9.5906308601740875E-3</v>
      </c>
      <c r="L21" s="6">
        <f t="shared" ref="L21" si="22">+F21/F12-1</f>
        <v>4.9956278513853647E-2</v>
      </c>
    </row>
    <row r="22" spans="1:12" x14ac:dyDescent="0.2">
      <c r="A22" s="1">
        <v>36434</v>
      </c>
      <c r="B22" s="13">
        <v>233.094726946284</v>
      </c>
      <c r="C22" s="2">
        <v>235.62543546741</v>
      </c>
      <c r="D22" s="2"/>
      <c r="E22" s="3">
        <f t="shared" si="1"/>
        <v>92.258920438291653</v>
      </c>
      <c r="F22" s="3">
        <f t="shared" si="2"/>
        <v>93.572851727091475</v>
      </c>
      <c r="G22" s="3"/>
      <c r="H22" s="5" t="s">
        <v>5</v>
      </c>
      <c r="I22" s="6">
        <f t="shared" si="3"/>
        <v>8.5578743946441049E-2</v>
      </c>
      <c r="J22" s="6">
        <f t="shared" ref="J22" si="23">+AVERAGE(B13:B22)/AVERAGE(B1:B10)-1</f>
        <v>0.1029107889721097</v>
      </c>
      <c r="K22" s="6">
        <f t="shared" si="5"/>
        <v>3.1909824420182309E-2</v>
      </c>
      <c r="L22" s="6">
        <f t="shared" ref="L22" si="24">+F22/F12-1</f>
        <v>8.3460199010098934E-2</v>
      </c>
    </row>
    <row r="23" spans="1:12" x14ac:dyDescent="0.2">
      <c r="A23" s="1">
        <v>36465</v>
      </c>
      <c r="B23" s="13">
        <v>249.973197115142</v>
      </c>
      <c r="C23" s="2">
        <v>236.81642131448399</v>
      </c>
      <c r="D23" s="2"/>
      <c r="E23" s="3">
        <f t="shared" si="1"/>
        <v>98.939420923348081</v>
      </c>
      <c r="F23" s="3">
        <f t="shared" si="2"/>
        <v>94.045822490439875</v>
      </c>
      <c r="G23" s="3"/>
      <c r="H23" s="5" t="s">
        <v>6</v>
      </c>
      <c r="I23" s="6">
        <f t="shared" si="3"/>
        <v>0.14374582084779108</v>
      </c>
      <c r="J23" s="6">
        <f t="shared" ref="J23" si="25">+AVERAGE(B13:B23)/AVERAGE(B1:B11)-1</f>
        <v>0.10690435617741811</v>
      </c>
      <c r="K23" s="6">
        <f t="shared" si="5"/>
        <v>5.0545725028006139E-3</v>
      </c>
      <c r="L23" s="6">
        <f t="shared" ref="L23" si="26">+F23/F12-1</f>
        <v>8.8936627139894364E-2</v>
      </c>
    </row>
    <row r="24" spans="1:12" x14ac:dyDescent="0.2">
      <c r="A24" s="1">
        <v>36495</v>
      </c>
      <c r="B24" s="13">
        <v>245.717027066312</v>
      </c>
      <c r="C24" s="2">
        <v>229.306424857037</v>
      </c>
      <c r="D24" s="2"/>
      <c r="E24" s="3">
        <f t="shared" si="1"/>
        <v>97.254828315651139</v>
      </c>
      <c r="F24" s="3">
        <f t="shared" si="2"/>
        <v>91.063411938753632</v>
      </c>
      <c r="G24" s="3"/>
      <c r="H24" s="5" t="s">
        <v>7</v>
      </c>
      <c r="I24" s="6">
        <f t="shared" si="3"/>
        <v>4.8352496514503018E-2</v>
      </c>
      <c r="J24" s="6">
        <f t="shared" ref="J24" si="27">+AVERAGE(B13:B24)/AVERAGE(B1:B12)-1</f>
        <v>0.10134636658985685</v>
      </c>
      <c r="K24" s="6">
        <f t="shared" si="5"/>
        <v>-3.1712312920538444E-2</v>
      </c>
      <c r="L24" s="6">
        <f t="shared" ref="L24" si="28">+F24/F12-1</f>
        <v>5.44039280693982E-2</v>
      </c>
    </row>
    <row r="25" spans="1:12" x14ac:dyDescent="0.2">
      <c r="A25" s="1">
        <v>36526</v>
      </c>
      <c r="B25" s="13">
        <v>232.362070555695</v>
      </c>
      <c r="C25" s="2">
        <v>236.82047223847201</v>
      </c>
      <c r="D25" s="2"/>
      <c r="E25" s="3">
        <f t="shared" si="1"/>
        <v>91.968934952418621</v>
      </c>
      <c r="F25" s="3">
        <f t="shared" si="2"/>
        <v>94.047431215359296</v>
      </c>
      <c r="G25" s="3"/>
      <c r="H25" s="5" t="s">
        <v>10</v>
      </c>
      <c r="I25" s="6">
        <f t="shared" si="3"/>
        <v>8.178032839535998E-2</v>
      </c>
      <c r="J25" s="6">
        <f t="shared" ref="J25" si="29">+AVERAGE(B25:B25)/AVERAGE(B13:B13)-1</f>
        <v>8.1780328395359758E-2</v>
      </c>
      <c r="K25" s="6">
        <f t="shared" si="5"/>
        <v>3.2768586340830463E-2</v>
      </c>
      <c r="L25" s="6">
        <f t="shared" ref="L25" si="30">+F25/F24-1</f>
        <v>3.2768586340830463E-2</v>
      </c>
    </row>
    <row r="26" spans="1:12" x14ac:dyDescent="0.2">
      <c r="A26" s="1">
        <v>36557</v>
      </c>
      <c r="B26" s="13">
        <v>219.79500930712399</v>
      </c>
      <c r="C26" s="2">
        <v>228.40139229412699</v>
      </c>
      <c r="D26" s="2"/>
      <c r="E26" s="3">
        <f t="shared" si="1"/>
        <v>86.994890626901835</v>
      </c>
      <c r="F26" s="3">
        <f t="shared" si="2"/>
        <v>90.704000495547703</v>
      </c>
      <c r="G26" s="3"/>
      <c r="H26" s="5" t="s">
        <v>0</v>
      </c>
      <c r="I26" s="6">
        <f t="shared" si="3"/>
        <v>5.8275513524805866E-2</v>
      </c>
      <c r="J26" s="6">
        <f t="shared" ref="J26" si="31">+AVERAGE(B25:B26)/AVERAGE(B13:B14)-1</f>
        <v>7.0225542807887287E-2</v>
      </c>
      <c r="K26" s="6">
        <f t="shared" si="5"/>
        <v>-3.5550473591941745E-2</v>
      </c>
      <c r="L26" s="6">
        <f t="shared" ref="L26" si="32">+F26/F24-1</f>
        <v>-3.9468260144662759E-3</v>
      </c>
    </row>
    <row r="27" spans="1:12" x14ac:dyDescent="0.2">
      <c r="A27" s="1">
        <v>36586</v>
      </c>
      <c r="B27" s="13">
        <v>246.574438407522</v>
      </c>
      <c r="C27" s="2">
        <v>233.24074354305799</v>
      </c>
      <c r="D27" s="2"/>
      <c r="E27" s="3">
        <f t="shared" si="1"/>
        <v>97.594191825705195</v>
      </c>
      <c r="F27" s="3">
        <f t="shared" si="2"/>
        <v>92.625829927812745</v>
      </c>
      <c r="G27" s="3"/>
      <c r="H27" s="5" t="s">
        <v>1</v>
      </c>
      <c r="I27" s="6">
        <f t="shared" si="3"/>
        <v>3.8212863030932853E-2</v>
      </c>
      <c r="J27" s="6">
        <f t="shared" ref="J27" si="33">+AVERAGE(B25:B27)/AVERAGE(B13:B15)-1</f>
        <v>5.8705646412002599E-2</v>
      </c>
      <c r="K27" s="6">
        <f t="shared" si="5"/>
        <v>2.1187923595050062E-2</v>
      </c>
      <c r="L27" s="6">
        <f t="shared" ref="L27" si="34">+F27/F24-1</f>
        <v>1.7157472532546292E-2</v>
      </c>
    </row>
    <row r="28" spans="1:12" x14ac:dyDescent="0.2">
      <c r="A28" s="1">
        <v>36617</v>
      </c>
      <c r="B28" s="13">
        <v>200.77493999794001</v>
      </c>
      <c r="C28" s="2">
        <v>226.04745362614699</v>
      </c>
      <c r="D28" s="2"/>
      <c r="E28" s="3">
        <f t="shared" si="1"/>
        <v>79.466744949324237</v>
      </c>
      <c r="F28" s="3">
        <f t="shared" si="2"/>
        <v>89.769191596344527</v>
      </c>
      <c r="G28" s="3"/>
      <c r="H28" s="5" t="s">
        <v>2</v>
      </c>
      <c r="I28" s="6">
        <f t="shared" si="3"/>
        <v>-5.280524907594597E-2</v>
      </c>
      <c r="J28" s="6">
        <f t="shared" ref="J28" si="35">+AVERAGE(B25:B28)/AVERAGE(B13:B16)-1</f>
        <v>3.1597883282383332E-2</v>
      </c>
      <c r="K28" s="6">
        <f t="shared" si="5"/>
        <v>-3.0840623330387618E-2</v>
      </c>
      <c r="L28" s="6">
        <f t="shared" ref="L28" si="36">+F28/F24-1</f>
        <v>-1.4212297945519037E-2</v>
      </c>
    </row>
    <row r="29" spans="1:12" x14ac:dyDescent="0.2">
      <c r="A29" s="1">
        <v>36647</v>
      </c>
      <c r="B29" s="13">
        <v>230.484808925995</v>
      </c>
      <c r="C29" s="2">
        <v>227.564247101147</v>
      </c>
      <c r="D29" s="2"/>
      <c r="E29" s="3">
        <f t="shared" si="1"/>
        <v>91.225914577803877</v>
      </c>
      <c r="F29" s="3">
        <f t="shared" si="2"/>
        <v>90.371548853128985</v>
      </c>
      <c r="G29" s="3"/>
      <c r="H29" s="5" t="s">
        <v>1</v>
      </c>
      <c r="I29" s="6">
        <f t="shared" si="3"/>
        <v>3.3687936257753126E-2</v>
      </c>
      <c r="J29" s="6">
        <f t="shared" ref="J29" si="37">+AVERAGE(B25:B29)/AVERAGE(B13:B17)-1</f>
        <v>3.2023505857339263E-2</v>
      </c>
      <c r="K29" s="6">
        <f t="shared" si="5"/>
        <v>6.7100666283486099E-3</v>
      </c>
      <c r="L29" s="6">
        <f t="shared" ref="L29" si="38">+F29/F24-1</f>
        <v>-7.5975967833269431E-3</v>
      </c>
    </row>
    <row r="30" spans="1:12" x14ac:dyDescent="0.2">
      <c r="A30" s="1">
        <v>36678</v>
      </c>
      <c r="B30" s="13">
        <v>225.716221035058</v>
      </c>
      <c r="C30" s="2">
        <v>226.55020280960099</v>
      </c>
      <c r="D30" s="2"/>
      <c r="E30" s="3">
        <f t="shared" si="1"/>
        <v>89.338506927718583</v>
      </c>
      <c r="F30" s="3">
        <f t="shared" si="2"/>
        <v>89.968846080615023</v>
      </c>
      <c r="G30" s="3"/>
      <c r="H30" s="5" t="s">
        <v>3</v>
      </c>
      <c r="I30" s="6">
        <f t="shared" si="3"/>
        <v>3.9916387408481357E-2</v>
      </c>
      <c r="J30" s="6">
        <f t="shared" ref="J30" si="39">+AVERAGE(B25:B30)/AVERAGE(B13:B18)-1</f>
        <v>3.332929387933925E-2</v>
      </c>
      <c r="K30" s="6">
        <f t="shared" si="5"/>
        <v>-4.4560791269432354E-3</v>
      </c>
      <c r="L30" s="6">
        <f t="shared" ref="L30" si="40">+F30/F24-1</f>
        <v>-1.2019820417829008E-2</v>
      </c>
    </row>
    <row r="31" spans="1:12" x14ac:dyDescent="0.2">
      <c r="A31" s="1">
        <v>36708</v>
      </c>
      <c r="B31" s="13">
        <v>224.439129417196</v>
      </c>
      <c r="C31" s="2">
        <v>230.05155458762999</v>
      </c>
      <c r="D31" s="2"/>
      <c r="E31" s="3">
        <f t="shared" si="1"/>
        <v>88.833033914629397</v>
      </c>
      <c r="F31" s="3">
        <f t="shared" si="2"/>
        <v>91.35932190135982</v>
      </c>
      <c r="G31" s="3"/>
      <c r="H31" s="5" t="s">
        <v>3</v>
      </c>
      <c r="I31" s="6">
        <f t="shared" si="3"/>
        <v>2.8954671693990575E-2</v>
      </c>
      <c r="J31" s="6">
        <f t="shared" ref="J31" si="41">+AVERAGE(B25:B31)/AVERAGE(B13:B19)-1</f>
        <v>3.2705670972501544E-2</v>
      </c>
      <c r="K31" s="6">
        <f t="shared" si="5"/>
        <v>1.5455081189980957E-2</v>
      </c>
      <c r="L31" s="6">
        <f t="shared" ref="L31" si="42">+F31/F24-1</f>
        <v>3.2494934717053336E-3</v>
      </c>
    </row>
    <row r="32" spans="1:12" x14ac:dyDescent="0.2">
      <c r="A32" s="1">
        <v>36739</v>
      </c>
      <c r="B32" s="13">
        <v>229.12039045958099</v>
      </c>
      <c r="C32" s="2">
        <v>221.31075613553901</v>
      </c>
      <c r="D32" s="2"/>
      <c r="E32" s="3">
        <f t="shared" si="1"/>
        <v>90.685877587750326</v>
      </c>
      <c r="F32" s="3">
        <f t="shared" si="2"/>
        <v>87.888128581710632</v>
      </c>
      <c r="G32" s="3"/>
      <c r="H32" s="5" t="s">
        <v>2</v>
      </c>
      <c r="I32" s="6">
        <f t="shared" si="3"/>
        <v>-1.6806984331924069E-3</v>
      </c>
      <c r="J32" s="6">
        <f t="shared" ref="J32" si="43">+AVERAGE(B25:B32)/AVERAGE(B13:B20)-1</f>
        <v>2.8220652294942417E-2</v>
      </c>
      <c r="K32" s="6">
        <f t="shared" si="5"/>
        <v>-3.7994954947203063E-2</v>
      </c>
      <c r="L32" s="6">
        <f t="shared" ref="L32" si="44">+F32/F24-1</f>
        <v>-3.4868925833556497E-2</v>
      </c>
    </row>
    <row r="33" spans="1:12" x14ac:dyDescent="0.2">
      <c r="A33" s="1">
        <v>36770</v>
      </c>
      <c r="B33" s="13">
        <v>224.357173802228</v>
      </c>
      <c r="C33" s="2">
        <v>229.435478719434</v>
      </c>
      <c r="D33" s="2"/>
      <c r="E33" s="3">
        <f t="shared" si="1"/>
        <v>88.800595872551582</v>
      </c>
      <c r="F33" s="3">
        <f t="shared" si="2"/>
        <v>91.114662508994186</v>
      </c>
      <c r="G33" s="3"/>
      <c r="H33" s="5" t="s">
        <v>4</v>
      </c>
      <c r="I33" s="6">
        <f t="shared" si="3"/>
        <v>-2.8824509586705793E-2</v>
      </c>
      <c r="J33" s="6">
        <f t="shared" ref="J33" si="45">+AVERAGE(B25:B33)/AVERAGE(B13:B21)-1</f>
        <v>2.1600447249791488E-2</v>
      </c>
      <c r="K33" s="6">
        <f t="shared" si="5"/>
        <v>3.6711828768589694E-2</v>
      </c>
      <c r="L33" s="6">
        <f t="shared" ref="L33" si="46">+F33/F24-1</f>
        <v>5.6280090048699272E-4</v>
      </c>
    </row>
    <row r="34" spans="1:12" x14ac:dyDescent="0.2">
      <c r="A34" s="1">
        <v>36800</v>
      </c>
      <c r="B34" s="13">
        <v>221.868121110647</v>
      </c>
      <c r="C34" s="2">
        <v>216.02226999586799</v>
      </c>
      <c r="D34" s="2"/>
      <c r="E34" s="3">
        <f t="shared" si="1"/>
        <v>87.815428523432573</v>
      </c>
      <c r="F34" s="3">
        <f t="shared" si="2"/>
        <v>85.787936264074958</v>
      </c>
      <c r="G34" s="3"/>
      <c r="H34" s="5" t="s">
        <v>5</v>
      </c>
      <c r="I34" s="6">
        <f t="shared" si="3"/>
        <v>-4.8163276718928838E-2</v>
      </c>
      <c r="J34" s="6">
        <f t="shared" ref="J34" si="47">+AVERAGE(B25:B34)/AVERAGE(B13:B22)-1</f>
        <v>1.4287677422825995E-2</v>
      </c>
      <c r="K34" s="6">
        <f t="shared" si="5"/>
        <v>-5.8461789773884276E-2</v>
      </c>
      <c r="L34" s="6">
        <f t="shared" ref="L34" si="48">+F34/F24-1</f>
        <v>-5.7931891221326026E-2</v>
      </c>
    </row>
    <row r="35" spans="1:12" x14ac:dyDescent="0.2">
      <c r="A35" s="1">
        <v>36831</v>
      </c>
      <c r="B35" s="13">
        <v>235.40367666726999</v>
      </c>
      <c r="C35" s="2">
        <v>222.81557558037099</v>
      </c>
      <c r="D35" s="2"/>
      <c r="E35" s="3">
        <f t="shared" si="1"/>
        <v>93.172803010390979</v>
      </c>
      <c r="F35" s="3">
        <f t="shared" si="2"/>
        <v>88.485730646648918</v>
      </c>
      <c r="G35" s="3"/>
      <c r="H35" s="5" t="s">
        <v>6</v>
      </c>
      <c r="I35" s="6">
        <f t="shared" si="3"/>
        <v>-5.8284330544290386E-2</v>
      </c>
      <c r="J35" s="6">
        <f t="shared" ref="J35" si="49">+AVERAGE(B25:B35)/AVERAGE(B13:B23)-1</f>
        <v>6.9540868248938459E-3</v>
      </c>
      <c r="K35" s="6">
        <f t="shared" si="5"/>
        <v>3.1447246548390373E-2</v>
      </c>
      <c r="L35" s="6">
        <f t="shared" ref="L35" si="50">+F35/F24-1</f>
        <v>-2.8306443139187287E-2</v>
      </c>
    </row>
    <row r="36" spans="1:12" x14ac:dyDescent="0.2">
      <c r="A36" s="1">
        <v>36861</v>
      </c>
      <c r="B36" s="13">
        <v>228.30358423919</v>
      </c>
      <c r="C36" s="2">
        <v>229.861415673133</v>
      </c>
      <c r="D36" s="2"/>
      <c r="E36" s="3">
        <f t="shared" si="1"/>
        <v>90.362585589309191</v>
      </c>
      <c r="F36" s="3">
        <f t="shared" si="2"/>
        <v>91.283812903706462</v>
      </c>
      <c r="G36" s="3"/>
      <c r="H36" s="5" t="s">
        <v>7</v>
      </c>
      <c r="I36" s="6">
        <f t="shared" si="3"/>
        <v>-7.0867872019396594E-2</v>
      </c>
      <c r="J36" s="6">
        <f t="shared" ref="J36" si="51">+AVERAGE(B25:B36)/AVERAGE(B13:B24)-1</f>
        <v>-7.7649935179335827E-5</v>
      </c>
      <c r="K36" s="6">
        <f t="shared" si="5"/>
        <v>3.1621847235812073E-2</v>
      </c>
      <c r="L36" s="6">
        <f t="shared" ref="L36" si="52">+F36/F24-1</f>
        <v>2.4203020758881699E-3</v>
      </c>
    </row>
    <row r="37" spans="1:12" x14ac:dyDescent="0.2">
      <c r="A37" s="1">
        <v>36892</v>
      </c>
      <c r="B37" s="13">
        <v>229.79897784269701</v>
      </c>
      <c r="C37" s="2">
        <v>218.91254619227001</v>
      </c>
      <c r="D37" s="2"/>
      <c r="E37" s="3">
        <f t="shared" si="1"/>
        <v>90.954462554083591</v>
      </c>
      <c r="F37" s="3">
        <f t="shared" si="2"/>
        <v>86.935738433394135</v>
      </c>
      <c r="G37" s="3"/>
      <c r="H37" s="5" t="s">
        <v>11</v>
      </c>
      <c r="I37" s="6">
        <f t="shared" si="3"/>
        <v>-1.103059852612065E-2</v>
      </c>
      <c r="J37" s="6">
        <f t="shared" ref="J37" si="53">+AVERAGE(B37:B37)/AVERAGE(B25:B25)-1</f>
        <v>-1.103059852612065E-2</v>
      </c>
      <c r="K37" s="6">
        <f t="shared" si="5"/>
        <v>-4.76324808528652E-2</v>
      </c>
      <c r="L37" s="6">
        <f t="shared" ref="L37" si="54">+F37/F36-1</f>
        <v>-4.76324808528652E-2</v>
      </c>
    </row>
    <row r="38" spans="1:12" x14ac:dyDescent="0.2">
      <c r="A38" s="1">
        <v>36923</v>
      </c>
      <c r="B38" s="13">
        <v>214.22874273191704</v>
      </c>
      <c r="C38" s="2">
        <v>228.96073987123401</v>
      </c>
      <c r="D38" s="2"/>
      <c r="E38" s="3">
        <f t="shared" si="1"/>
        <v>84.79176165942981</v>
      </c>
      <c r="F38" s="3">
        <f t="shared" si="2"/>
        <v>90.926131641078385</v>
      </c>
      <c r="G38" s="3"/>
      <c r="H38" s="5" t="s">
        <v>0</v>
      </c>
      <c r="I38" s="6">
        <f t="shared" si="3"/>
        <v>-2.5324808751362893E-2</v>
      </c>
      <c r="J38" s="6">
        <f t="shared" ref="J38" si="55">+AVERAGE(B37:B38)/AVERAGE(B25:B26)-1</f>
        <v>-1.7979060044070017E-2</v>
      </c>
      <c r="K38" s="6">
        <f t="shared" si="5"/>
        <v>4.590049247400696E-2</v>
      </c>
      <c r="L38" s="6">
        <f t="shared" ref="L38" si="56">+F38/F36-1</f>
        <v>-3.918342707763367E-3</v>
      </c>
    </row>
    <row r="39" spans="1:12" x14ac:dyDescent="0.2">
      <c r="A39" s="1">
        <v>36951</v>
      </c>
      <c r="B39" s="13">
        <v>211.22106728492301</v>
      </c>
      <c r="C39" s="2">
        <v>207.00304146330501</v>
      </c>
      <c r="D39" s="2"/>
      <c r="E39" s="3">
        <f t="shared" si="1"/>
        <v>83.60132336250355</v>
      </c>
      <c r="F39" s="3">
        <f t="shared" si="2"/>
        <v>82.20617127976368</v>
      </c>
      <c r="G39" s="3"/>
      <c r="H39" s="5" t="s">
        <v>1</v>
      </c>
      <c r="I39" s="6">
        <f t="shared" si="3"/>
        <v>-0.14337808635366023</v>
      </c>
      <c r="J39" s="6">
        <f t="shared" ref="J39" si="57">+AVERAGE(B37:B39)/AVERAGE(B25:B27)-1</f>
        <v>-6.2230956059406428E-2</v>
      </c>
      <c r="K39" s="6">
        <f t="shared" si="5"/>
        <v>-9.5901587408731448E-2</v>
      </c>
      <c r="L39" s="6">
        <f t="shared" ref="L39" si="58">+F39/F36-1</f>
        <v>-9.9444154830808928E-2</v>
      </c>
    </row>
    <row r="40" spans="1:12" x14ac:dyDescent="0.2">
      <c r="A40" s="1">
        <v>36982</v>
      </c>
      <c r="B40" s="13">
        <v>194.489965139166</v>
      </c>
      <c r="C40" s="2">
        <v>212.36693696025</v>
      </c>
      <c r="D40" s="2"/>
      <c r="E40" s="3">
        <f t="shared" si="1"/>
        <v>76.979151158384823</v>
      </c>
      <c r="F40" s="3">
        <f t="shared" si="2"/>
        <v>84.336310570624178</v>
      </c>
      <c r="G40" s="3"/>
      <c r="H40" s="5" t="s">
        <v>2</v>
      </c>
      <c r="I40" s="6">
        <f t="shared" si="3"/>
        <v>-3.1303582303839783E-2</v>
      </c>
      <c r="J40" s="6">
        <f t="shared" ref="J40" si="59">+AVERAGE(B37:B40)/AVERAGE(B25:B28)-1</f>
        <v>-5.5327790937032439E-2</v>
      </c>
      <c r="K40" s="6">
        <f t="shared" si="5"/>
        <v>2.5912157903708044E-2</v>
      </c>
      <c r="L40" s="6">
        <f t="shared" ref="L40" si="60">+F40/F36-1</f>
        <v>-7.6108809569677693E-2</v>
      </c>
    </row>
    <row r="41" spans="1:12" x14ac:dyDescent="0.2">
      <c r="A41" s="1">
        <v>37012</v>
      </c>
      <c r="B41" s="13">
        <v>206.33112447730099</v>
      </c>
      <c r="C41" s="2">
        <v>203.26648297365699</v>
      </c>
      <c r="D41" s="2"/>
      <c r="E41" s="3">
        <f t="shared" si="1"/>
        <v>81.665883422070394</v>
      </c>
      <c r="F41" s="3">
        <f t="shared" si="2"/>
        <v>80.72228889317897</v>
      </c>
      <c r="G41" s="3"/>
      <c r="H41" s="5" t="s">
        <v>1</v>
      </c>
      <c r="I41" s="6">
        <f t="shared" si="3"/>
        <v>-0.10479512537613445</v>
      </c>
      <c r="J41" s="6">
        <f t="shared" ref="J41" si="61">+AVERAGE(B37:B41)/AVERAGE(B25:B29)-1</f>
        <v>-6.5417664600024628E-2</v>
      </c>
      <c r="K41" s="6">
        <f t="shared" si="5"/>
        <v>-4.2852499154783175E-2</v>
      </c>
      <c r="L41" s="6">
        <f t="shared" ref="L41" si="62">+F41/F36-1</f>
        <v>-0.11569985602670474</v>
      </c>
    </row>
    <row r="42" spans="1:12" x14ac:dyDescent="0.2">
      <c r="A42" s="1">
        <v>37043</v>
      </c>
      <c r="B42" s="13">
        <v>201.19718088477299</v>
      </c>
      <c r="C42" s="2">
        <v>208.46873467773599</v>
      </c>
      <c r="D42" s="2"/>
      <c r="E42" s="3">
        <f t="shared" si="1"/>
        <v>79.633867942171236</v>
      </c>
      <c r="F42" s="3">
        <f t="shared" si="2"/>
        <v>82.788235323737922</v>
      </c>
      <c r="G42" s="3"/>
      <c r="H42" s="5" t="s">
        <v>3</v>
      </c>
      <c r="I42" s="6">
        <f t="shared" si="3"/>
        <v>-0.10862772749715988</v>
      </c>
      <c r="J42" s="6">
        <f t="shared" ref="J42" si="63">+AVERAGE(B37:B42)/AVERAGE(B25:B30)-1</f>
        <v>-7.261185080354482E-2</v>
      </c>
      <c r="K42" s="6">
        <f t="shared" si="5"/>
        <v>2.5593258799844643E-2</v>
      </c>
      <c r="L42" s="6">
        <f t="shared" ref="L42" si="64">+F42/F36-1</f>
        <v>-9.3067733585256329E-2</v>
      </c>
    </row>
    <row r="43" spans="1:12" x14ac:dyDescent="0.2">
      <c r="A43" s="1">
        <v>37073</v>
      </c>
      <c r="B43" s="13">
        <v>208.122250162688</v>
      </c>
      <c r="C43" s="2">
        <v>203.260144406123</v>
      </c>
      <c r="D43" s="2"/>
      <c r="E43" s="3">
        <f t="shared" si="1"/>
        <v>82.374811179759149</v>
      </c>
      <c r="F43" s="3">
        <f t="shared" si="2"/>
        <v>80.719771686838996</v>
      </c>
      <c r="G43" s="3"/>
      <c r="H43" s="5" t="s">
        <v>3</v>
      </c>
      <c r="I43" s="6">
        <f t="shared" si="3"/>
        <v>-7.2700688587049145E-2</v>
      </c>
      <c r="J43" s="6">
        <f t="shared" ref="J43" si="65">+AVERAGE(B37:B43)/AVERAGE(B25:B31)-1</f>
        <v>-7.2624469047046114E-2</v>
      </c>
      <c r="K43" s="6">
        <f t="shared" si="5"/>
        <v>-2.4984994894628909E-2</v>
      </c>
      <c r="L43" s="6">
        <f t="shared" ref="L43" si="66">+F43/F36-1</f>
        <v>-0.11572743163140298</v>
      </c>
    </row>
    <row r="44" spans="1:12" x14ac:dyDescent="0.2">
      <c r="A44" s="1">
        <v>37104</v>
      </c>
      <c r="B44" s="13">
        <v>211.77551059784003</v>
      </c>
      <c r="C44" s="2">
        <v>203.56175102678199</v>
      </c>
      <c r="D44" s="2"/>
      <c r="E44" s="3">
        <f t="shared" si="1"/>
        <v>83.820772091198904</v>
      </c>
      <c r="F44" s="3">
        <f t="shared" si="2"/>
        <v>80.839547344924668</v>
      </c>
      <c r="G44" s="3"/>
      <c r="H44" s="5" t="s">
        <v>2</v>
      </c>
      <c r="I44" s="6">
        <f t="shared" si="3"/>
        <v>-7.570203519184715E-2</v>
      </c>
      <c r="J44" s="6">
        <f t="shared" ref="J44" si="67">+AVERAGE(B37:B44)/AVERAGE(B25:B32)-1</f>
        <v>-7.3014203206571926E-2</v>
      </c>
      <c r="K44" s="6">
        <f t="shared" si="5"/>
        <v>1.4838453526646589E-3</v>
      </c>
      <c r="L44" s="6">
        <f t="shared" ref="L44" si="68">+F44/F36-1</f>
        <v>-0.11441530789034027</v>
      </c>
    </row>
    <row r="45" spans="1:12" x14ac:dyDescent="0.2">
      <c r="A45" s="1">
        <v>37135</v>
      </c>
      <c r="B45" s="13">
        <v>188.61365991000599</v>
      </c>
      <c r="C45" s="2">
        <v>201.08946300413999</v>
      </c>
      <c r="D45" s="2"/>
      <c r="E45" s="3">
        <f t="shared" si="1"/>
        <v>74.653308855083282</v>
      </c>
      <c r="F45" s="3">
        <f t="shared" si="2"/>
        <v>79.857738907688528</v>
      </c>
      <c r="G45" s="3"/>
      <c r="H45" s="5" t="s">
        <v>4</v>
      </c>
      <c r="I45" s="6">
        <f t="shared" si="3"/>
        <v>-0.15931522619254468</v>
      </c>
      <c r="J45" s="6">
        <f t="shared" ref="J45" si="69">+AVERAGE(B37:B45)/AVERAGE(B25:B33)-1</f>
        <v>-8.253526112161147E-2</v>
      </c>
      <c r="K45" s="6">
        <f t="shared" si="5"/>
        <v>-1.214515010885675E-2</v>
      </c>
      <c r="L45" s="6">
        <f t="shared" ref="L45" si="70">+F45/F36-1</f>
        <v>-0.12517086691011781</v>
      </c>
    </row>
    <row r="46" spans="1:12" x14ac:dyDescent="0.2">
      <c r="A46" s="1">
        <v>37165</v>
      </c>
      <c r="B46" s="13">
        <v>215.5924122312</v>
      </c>
      <c r="C46" s="2">
        <v>201.19653477121699</v>
      </c>
      <c r="D46" s="2"/>
      <c r="E46" s="3">
        <f t="shared" si="1"/>
        <v>85.331502208204483</v>
      </c>
      <c r="F46" s="3">
        <f t="shared" si="2"/>
        <v>79.900259828933628</v>
      </c>
      <c r="G46" s="3"/>
      <c r="H46" s="5" t="s">
        <v>5</v>
      </c>
      <c r="I46" s="6">
        <f t="shared" si="3"/>
        <v>-2.8285762046532437E-2</v>
      </c>
      <c r="J46" s="6">
        <f t="shared" ref="J46" si="71">+AVERAGE(B37:B46)/AVERAGE(B25:B34)-1</f>
        <v>-7.7198849902264333E-2</v>
      </c>
      <c r="K46" s="6">
        <f t="shared" si="5"/>
        <v>5.3245836692483728E-4</v>
      </c>
      <c r="L46" s="6">
        <f t="shared" ref="L46" si="72">+F46/F36-1</f>
        <v>-0.12470505681857447</v>
      </c>
    </row>
    <row r="47" spans="1:12" x14ac:dyDescent="0.2">
      <c r="A47" s="1">
        <v>37196</v>
      </c>
      <c r="B47" s="13">
        <v>210.85921413132999</v>
      </c>
      <c r="C47" s="2">
        <v>198.83728918294401</v>
      </c>
      <c r="D47" s="2"/>
      <c r="E47" s="3">
        <f t="shared" si="1"/>
        <v>83.45810184160068</v>
      </c>
      <c r="F47" s="3">
        <f t="shared" si="2"/>
        <v>78.963343416741807</v>
      </c>
      <c r="G47" s="3"/>
      <c r="H47" s="5" t="s">
        <v>6</v>
      </c>
      <c r="I47" s="6">
        <f t="shared" si="3"/>
        <v>-0.10426541710574999</v>
      </c>
      <c r="J47" s="6">
        <f t="shared" ref="J47" si="73">+AVERAGE(B37:B47)/AVERAGE(B25:B35)-1</f>
        <v>-7.9756792701330737E-2</v>
      </c>
      <c r="K47" s="6">
        <f t="shared" si="5"/>
        <v>-1.1726074661055685E-2</v>
      </c>
      <c r="L47" s="6">
        <f t="shared" ref="L47" si="74">+F47/F36-1</f>
        <v>-0.13496883067276433</v>
      </c>
    </row>
    <row r="48" spans="1:12" x14ac:dyDescent="0.2">
      <c r="A48" s="1">
        <v>37226</v>
      </c>
      <c r="B48" s="13">
        <v>196.774748024622</v>
      </c>
      <c r="C48" s="2">
        <v>199.06562267962801</v>
      </c>
      <c r="D48" s="2"/>
      <c r="E48" s="3">
        <f t="shared" si="1"/>
        <v>77.883468494128891</v>
      </c>
      <c r="F48" s="3">
        <f t="shared" si="2"/>
        <v>79.054020454164174</v>
      </c>
      <c r="G48" s="3"/>
      <c r="H48" s="5" t="s">
        <v>7</v>
      </c>
      <c r="I48" s="6">
        <f t="shared" si="3"/>
        <v>-0.13810048720713797</v>
      </c>
      <c r="J48" s="6">
        <f t="shared" ref="J48" si="75">+AVERAGE(B37:B48)/AVERAGE(B25:B36)-1</f>
        <v>-8.4655320470363948E-2</v>
      </c>
      <c r="K48" s="6">
        <f t="shared" si="5"/>
        <v>1.1483434401176051E-3</v>
      </c>
      <c r="L48" s="6">
        <f t="shared" ref="L48" si="76">+F48/F36-1</f>
        <v>-0.13397547780397012</v>
      </c>
    </row>
    <row r="49" spans="1:12" x14ac:dyDescent="0.2">
      <c r="A49" s="1">
        <v>37257</v>
      </c>
      <c r="B49" s="13">
        <v>194.67809618182503</v>
      </c>
      <c r="C49" s="2">
        <v>185.791566063809</v>
      </c>
      <c r="D49" s="2"/>
      <c r="E49" s="3">
        <f t="shared" si="1"/>
        <v>77.053613447274998</v>
      </c>
      <c r="F49" s="3">
        <f t="shared" si="2"/>
        <v>73.782555049484429</v>
      </c>
      <c r="G49" s="3"/>
      <c r="H49" s="5" t="s">
        <v>12</v>
      </c>
      <c r="I49" s="6">
        <f t="shared" si="3"/>
        <v>-0.15283306301263488</v>
      </c>
      <c r="J49" s="6">
        <f t="shared" ref="J49" si="77">+AVERAGE(B49:B49)/AVERAGE(B37:B37)-1</f>
        <v>-0.15283306301263477</v>
      </c>
      <c r="K49" s="6">
        <f t="shared" si="5"/>
        <v>-6.6681812947592678E-2</v>
      </c>
      <c r="L49" s="6">
        <f t="shared" ref="L49" si="78">+F49/F48-1</f>
        <v>-6.6681812947592678E-2</v>
      </c>
    </row>
    <row r="50" spans="1:12" x14ac:dyDescent="0.2">
      <c r="A50" s="1">
        <v>37288</v>
      </c>
      <c r="B50" s="13">
        <v>197.99024027630301</v>
      </c>
      <c r="C50" s="2">
        <v>213.41361379344801</v>
      </c>
      <c r="D50" s="2"/>
      <c r="E50" s="3">
        <f t="shared" si="1"/>
        <v>78.364560470812862</v>
      </c>
      <c r="F50" s="3">
        <f t="shared" si="2"/>
        <v>84.751972555183414</v>
      </c>
      <c r="G50" s="3"/>
      <c r="H50" s="5" t="s">
        <v>0</v>
      </c>
      <c r="I50" s="6">
        <f t="shared" si="3"/>
        <v>-7.5799830818849001E-2</v>
      </c>
      <c r="J50" s="6">
        <f t="shared" ref="J50" si="79">+AVERAGE(B49:B50)/AVERAGE(B37:B38)-1</f>
        <v>-0.11566706702460394</v>
      </c>
      <c r="K50" s="6">
        <f t="shared" si="5"/>
        <v>0.14867223693110154</v>
      </c>
      <c r="L50" s="6">
        <f t="shared" ref="L50" si="80">+F50/F48-1</f>
        <v>7.207668968996872E-2</v>
      </c>
    </row>
    <row r="51" spans="1:12" x14ac:dyDescent="0.2">
      <c r="A51" s="1">
        <v>37316</v>
      </c>
      <c r="B51" s="13">
        <v>205.36313467171701</v>
      </c>
      <c r="C51" s="2">
        <v>216.95759756233599</v>
      </c>
      <c r="D51" s="2"/>
      <c r="E51" s="3">
        <f t="shared" si="1"/>
        <v>81.282752942765185</v>
      </c>
      <c r="F51" s="3">
        <f t="shared" si="2"/>
        <v>86.159378623511913</v>
      </c>
      <c r="G51" s="3"/>
      <c r="H51" s="5" t="s">
        <v>1</v>
      </c>
      <c r="I51" s="6">
        <f t="shared" si="3"/>
        <v>-2.7733656914553984E-2</v>
      </c>
      <c r="J51" s="6">
        <f t="shared" ref="J51" si="81">+AVERAGE(B49:B51)/AVERAGE(B37:B39)-1</f>
        <v>-8.7321514804476807E-2</v>
      </c>
      <c r="K51" s="6">
        <f t="shared" si="5"/>
        <v>1.6606174769703497E-2</v>
      </c>
      <c r="L51" s="6">
        <f t="shared" ref="L51" si="82">+F51/F48-1</f>
        <v>8.9879782565485788E-2</v>
      </c>
    </row>
    <row r="52" spans="1:12" x14ac:dyDescent="0.2">
      <c r="A52" s="1">
        <v>37347</v>
      </c>
      <c r="B52" s="13">
        <v>216.40226067340399</v>
      </c>
      <c r="C52" s="2">
        <v>220.85367148971</v>
      </c>
      <c r="D52" s="2"/>
      <c r="E52" s="3">
        <f t="shared" si="1"/>
        <v>85.652040317217953</v>
      </c>
      <c r="F52" s="3">
        <f t="shared" si="2"/>
        <v>87.706608646453887</v>
      </c>
      <c r="G52" s="3"/>
      <c r="H52" s="5" t="s">
        <v>2</v>
      </c>
      <c r="I52" s="6">
        <f t="shared" si="3"/>
        <v>0.11266542990307382</v>
      </c>
      <c r="J52" s="6">
        <f t="shared" ref="J52" si="83">+AVERAGE(B49:B52)/AVERAGE(B37:B40)-1</f>
        <v>-4.1548088834201913E-2</v>
      </c>
      <c r="K52" s="6">
        <f t="shared" si="5"/>
        <v>1.7957766730222868E-2</v>
      </c>
      <c r="L52" s="6">
        <f t="shared" ref="L52" si="84">+F52/F48-1</f>
        <v>0.10945158946478273</v>
      </c>
    </row>
    <row r="53" spans="1:12" x14ac:dyDescent="0.2">
      <c r="A53" s="1">
        <v>37377</v>
      </c>
      <c r="B53" s="13">
        <v>221.25088125140201</v>
      </c>
      <c r="C53" s="2">
        <v>217.54375507083401</v>
      </c>
      <c r="D53" s="2"/>
      <c r="E53" s="3">
        <f t="shared" si="1"/>
        <v>87.571124914288518</v>
      </c>
      <c r="F53" s="3">
        <f t="shared" si="2"/>
        <v>86.392156674500356</v>
      </c>
      <c r="G53" s="3"/>
      <c r="H53" s="5" t="s">
        <v>1</v>
      </c>
      <c r="I53" s="6">
        <f t="shared" ref="I53:I116" si="85">+E53/E41-1</f>
        <v>7.2309773001515421E-2</v>
      </c>
      <c r="J53" s="6">
        <f t="shared" ref="J53" si="86">+AVERAGE(B49:B53)/AVERAGE(B37:B41)-1</f>
        <v>-1.9302950359756155E-2</v>
      </c>
      <c r="K53" s="6">
        <f t="shared" ref="K53:K116" si="87">+F53/F52-1</f>
        <v>-1.4986920509628798E-2</v>
      </c>
      <c r="L53" s="6">
        <f t="shared" ref="L53" si="88">+F53/F48-1</f>
        <v>9.2824326684192604E-2</v>
      </c>
    </row>
    <row r="54" spans="1:12" x14ac:dyDescent="0.2">
      <c r="A54" s="1">
        <v>37408</v>
      </c>
      <c r="B54" s="13">
        <v>228.28019517206101</v>
      </c>
      <c r="C54" s="2">
        <v>242.492214981899</v>
      </c>
      <c r="D54" s="2"/>
      <c r="E54" s="3">
        <f t="shared" si="1"/>
        <v>90.35332819377885</v>
      </c>
      <c r="F54" s="3">
        <f t="shared" si="2"/>
        <v>96.299824475501666</v>
      </c>
      <c r="G54" s="3"/>
      <c r="H54" s="5" t="s">
        <v>3</v>
      </c>
      <c r="I54" s="6">
        <f t="shared" si="85"/>
        <v>0.13460931295453227</v>
      </c>
      <c r="J54" s="6">
        <f t="shared" ref="J54" si="89">+AVERAGE(B49:B54)/AVERAGE(B37:B42)-1</f>
        <v>5.327229263977884E-3</v>
      </c>
      <c r="K54" s="6">
        <f t="shared" si="87"/>
        <v>0.11468249181844614</v>
      </c>
      <c r="L54" s="6">
        <f t="shared" ref="L54" si="90">+F54/F48-1</f>
        <v>0.21815214358815149</v>
      </c>
    </row>
    <row r="55" spans="1:12" x14ac:dyDescent="0.2">
      <c r="A55" s="1">
        <v>37438</v>
      </c>
      <c r="B55" s="13">
        <v>233.78906543075101</v>
      </c>
      <c r="C55" s="2">
        <v>219.28605705358001</v>
      </c>
      <c r="D55" s="2"/>
      <c r="E55" s="3">
        <f t="shared" si="1"/>
        <v>92.533739692398782</v>
      </c>
      <c r="F55" s="3">
        <f t="shared" si="2"/>
        <v>87.08406909376825</v>
      </c>
      <c r="G55" s="3"/>
      <c r="H55" s="5" t="s">
        <v>3</v>
      </c>
      <c r="I55" s="6">
        <f t="shared" si="85"/>
        <v>0.12332566675595436</v>
      </c>
      <c r="J55" s="6">
        <f t="shared" ref="J55" si="91">+AVERAGE(B49:B55)/AVERAGE(B37:B43)-1</f>
        <v>2.2085984213034093E-2</v>
      </c>
      <c r="K55" s="6">
        <f t="shared" si="87"/>
        <v>-9.5698568838802678E-2</v>
      </c>
      <c r="L55" s="6">
        <f t="shared" ref="L55" si="92">+F55/F48-1</f>
        <v>0.10157672681884566</v>
      </c>
    </row>
    <row r="56" spans="1:12" x14ac:dyDescent="0.2">
      <c r="A56" s="1">
        <v>37469</v>
      </c>
      <c r="B56" s="13">
        <v>205.08346242976401</v>
      </c>
      <c r="C56" s="2">
        <v>203.93642972199899</v>
      </c>
      <c r="D56" s="2"/>
      <c r="E56" s="3">
        <f t="shared" si="1"/>
        <v>81.172058636389536</v>
      </c>
      <c r="F56" s="3">
        <f t="shared" si="2"/>
        <v>80.988341781838031</v>
      </c>
      <c r="G56" s="3"/>
      <c r="H56" s="5" t="s">
        <v>2</v>
      </c>
      <c r="I56" s="6">
        <f t="shared" si="85"/>
        <v>-3.1599726281780205E-2</v>
      </c>
      <c r="J56" s="6">
        <f t="shared" ref="J56" si="93">+AVERAGE(B49:B56)/AVERAGE(B37:B44)-1</f>
        <v>1.5307092465350225E-2</v>
      </c>
      <c r="K56" s="6">
        <f t="shared" si="87"/>
        <v>-6.9998191119969522E-2</v>
      </c>
      <c r="L56" s="6">
        <f t="shared" ref="L56" si="94">+F56/F48-1</f>
        <v>2.4468348561669684E-2</v>
      </c>
    </row>
    <row r="57" spans="1:12" x14ac:dyDescent="0.2">
      <c r="A57" s="1">
        <v>37500</v>
      </c>
      <c r="B57" s="13">
        <v>200.28558179495499</v>
      </c>
      <c r="C57" s="2">
        <v>202.804557106635</v>
      </c>
      <c r="D57" s="2"/>
      <c r="E57" s="3">
        <f t="shared" si="1"/>
        <v>79.273056914822178</v>
      </c>
      <c r="F57" s="3">
        <f t="shared" si="2"/>
        <v>80.538846385887624</v>
      </c>
      <c r="G57" s="3"/>
      <c r="H57" s="5" t="s">
        <v>4</v>
      </c>
      <c r="I57" s="6">
        <f t="shared" si="85"/>
        <v>6.188269656883838E-2</v>
      </c>
      <c r="J57" s="6">
        <f t="shared" ref="J57" si="95">+AVERAGE(B49:B57)/AVERAGE(B37:B45)-1</f>
        <v>2.0015473042791276E-2</v>
      </c>
      <c r="K57" s="6">
        <f t="shared" si="87"/>
        <v>-5.5501246977155416E-3</v>
      </c>
      <c r="L57" s="6">
        <f t="shared" ref="L57" si="96">+F57/F48-1</f>
        <v>1.8782421478289679E-2</v>
      </c>
    </row>
    <row r="58" spans="1:12" x14ac:dyDescent="0.2">
      <c r="A58" s="1">
        <v>37530</v>
      </c>
      <c r="B58" s="13">
        <v>213.15890500466901</v>
      </c>
      <c r="C58" s="2">
        <v>197.69456413809601</v>
      </c>
      <c r="D58" s="2"/>
      <c r="E58" s="3">
        <f t="shared" si="1"/>
        <v>84.368319760708502</v>
      </c>
      <c r="F58" s="3">
        <f t="shared" si="2"/>
        <v>78.509538245096039</v>
      </c>
      <c r="G58" s="3"/>
      <c r="H58" s="5" t="s">
        <v>5</v>
      </c>
      <c r="I58" s="6">
        <f t="shared" si="85"/>
        <v>-1.1287536520168895E-2</v>
      </c>
      <c r="J58" s="6">
        <f t="shared" ref="J58" si="97">+AVERAGE(B49:B58)/AVERAGE(B37:B46)-1</f>
        <v>1.6773046923493906E-2</v>
      </c>
      <c r="K58" s="6">
        <f t="shared" si="87"/>
        <v>-2.5196637794742127E-2</v>
      </c>
      <c r="L58" s="6">
        <f t="shared" ref="L58" si="98">+F58/F48-1</f>
        <v>-6.8874701873490318E-3</v>
      </c>
    </row>
    <row r="59" spans="1:12" x14ac:dyDescent="0.2">
      <c r="A59" s="1">
        <v>37561</v>
      </c>
      <c r="B59" s="13">
        <v>203.08817332836901</v>
      </c>
      <c r="C59" s="2">
        <v>199.953805388999</v>
      </c>
      <c r="D59" s="2"/>
      <c r="E59" s="3">
        <f t="shared" si="1"/>
        <v>80.382322974546724</v>
      </c>
      <c r="F59" s="3">
        <f t="shared" si="2"/>
        <v>79.4067403920846</v>
      </c>
      <c r="G59" s="3"/>
      <c r="H59" s="5" t="s">
        <v>6</v>
      </c>
      <c r="I59" s="6">
        <f t="shared" si="85"/>
        <v>-3.6854167530572801E-2</v>
      </c>
      <c r="J59" s="6">
        <f t="shared" ref="J59" si="99">+AVERAGE(B49:B59)/AVERAGE(B37:B47)-1</f>
        <v>1.1839950429721746E-2</v>
      </c>
      <c r="K59" s="6">
        <f t="shared" si="87"/>
        <v>1.1427938146669758E-2</v>
      </c>
      <c r="L59" s="6">
        <f t="shared" ref="L59" si="100">+F59/F48-1</f>
        <v>4.4617583760326873E-3</v>
      </c>
    </row>
    <row r="60" spans="1:12" x14ac:dyDescent="0.2">
      <c r="A60" s="1">
        <v>37591</v>
      </c>
      <c r="B60" s="13">
        <v>206.23477824035501</v>
      </c>
      <c r="C60" s="2">
        <v>201.568231552128</v>
      </c>
      <c r="D60" s="2"/>
      <c r="E60" s="3">
        <f t="shared" si="1"/>
        <v>81.627749570115114</v>
      </c>
      <c r="F60" s="3">
        <f t="shared" si="2"/>
        <v>80.047870071854248</v>
      </c>
      <c r="G60" s="3"/>
      <c r="H60" s="5" t="s">
        <v>7</v>
      </c>
      <c r="I60" s="6">
        <f t="shared" si="85"/>
        <v>4.8075427923044867E-2</v>
      </c>
      <c r="J60" s="6">
        <f t="shared" ref="J60" si="101">+AVERAGE(B49:B60)/AVERAGE(B37:B48)-1</f>
        <v>1.4704640284989523E-2</v>
      </c>
      <c r="K60" s="6">
        <f t="shared" si="87"/>
        <v>8.0739956910957922E-3</v>
      </c>
      <c r="L60" s="6">
        <f t="shared" ref="L60" si="102">+F60/F48-1</f>
        <v>1.2571778285031199E-2</v>
      </c>
    </row>
    <row r="61" spans="1:12" x14ac:dyDescent="0.2">
      <c r="A61" s="1">
        <v>37622</v>
      </c>
      <c r="B61" s="13">
        <v>211.00940025460699</v>
      </c>
      <c r="C61" s="2">
        <v>203.542455393626</v>
      </c>
      <c r="D61" s="2"/>
      <c r="E61" s="3">
        <f t="shared" si="1"/>
        <v>83.517545526920699</v>
      </c>
      <c r="F61" s="3">
        <f t="shared" si="2"/>
        <v>80.831884558363853</v>
      </c>
      <c r="G61" s="3"/>
      <c r="H61" s="5" t="s">
        <v>13</v>
      </c>
      <c r="I61" s="6">
        <f t="shared" si="85"/>
        <v>8.3888759922579492E-2</v>
      </c>
      <c r="J61" s="6">
        <f t="shared" ref="J61" si="103">+AVERAGE(B61:B61)/AVERAGE(B49:B49)-1</f>
        <v>8.3888759922579492E-2</v>
      </c>
      <c r="K61" s="6">
        <f t="shared" si="87"/>
        <v>9.7943203961059488E-3</v>
      </c>
      <c r="L61" s="6">
        <f t="shared" ref="L61" si="104">+F61/F60-1</f>
        <v>9.7943203961059488E-3</v>
      </c>
    </row>
    <row r="62" spans="1:12" x14ac:dyDescent="0.2">
      <c r="A62" s="1">
        <v>37653</v>
      </c>
      <c r="B62" s="13">
        <v>188.48144684728399</v>
      </c>
      <c r="C62" s="2">
        <v>205.16727677479199</v>
      </c>
      <c r="D62" s="2"/>
      <c r="E62" s="3">
        <f t="shared" si="1"/>
        <v>74.600978909252362</v>
      </c>
      <c r="F62" s="3">
        <f t="shared" si="2"/>
        <v>81.477142443537645</v>
      </c>
      <c r="G62" s="3"/>
      <c r="H62" s="5" t="s">
        <v>0</v>
      </c>
      <c r="I62" s="6">
        <f t="shared" si="85"/>
        <v>-4.8026576541091659E-2</v>
      </c>
      <c r="J62" s="6">
        <f t="shared" ref="J62" si="105">+AVERAGE(B61:B62)/AVERAGE(B49:B50)-1</f>
        <v>1.7374740997204041E-2</v>
      </c>
      <c r="K62" s="6">
        <f t="shared" si="87"/>
        <v>7.982714849458894E-3</v>
      </c>
      <c r="L62" s="6">
        <f t="shared" ref="L62" si="106">+F62/F60-1</f>
        <v>1.7855220512431158E-2</v>
      </c>
    </row>
    <row r="63" spans="1:12" x14ac:dyDescent="0.2">
      <c r="A63" s="1">
        <v>37681</v>
      </c>
      <c r="B63" s="13">
        <v>201.83492899230799</v>
      </c>
      <c r="C63" s="2">
        <v>207.79630457976899</v>
      </c>
      <c r="D63" s="2"/>
      <c r="E63" s="3">
        <f t="shared" si="1"/>
        <v>79.886288718409133</v>
      </c>
      <c r="F63" s="3">
        <f t="shared" si="2"/>
        <v>82.521196233798065</v>
      </c>
      <c r="G63" s="3"/>
      <c r="H63" s="5" t="s">
        <v>1</v>
      </c>
      <c r="I63" s="6">
        <f t="shared" si="85"/>
        <v>-1.7180326376732946E-2</v>
      </c>
      <c r="J63" s="6">
        <f t="shared" ref="J63" si="107">+AVERAGE(B61:B63)/AVERAGE(B49:B51)-1</f>
        <v>5.5085812760491404E-3</v>
      </c>
      <c r="K63" s="6">
        <f t="shared" si="87"/>
        <v>1.2814069798581018E-2</v>
      </c>
      <c r="L63" s="6">
        <f t="shared" ref="L63" si="108">+F63/F60-1</f>
        <v>3.0898088352927511E-2</v>
      </c>
    </row>
    <row r="64" spans="1:12" x14ac:dyDescent="0.2">
      <c r="A64" s="1">
        <v>37712</v>
      </c>
      <c r="B64" s="13">
        <v>209.43555303595599</v>
      </c>
      <c r="C64" s="2">
        <v>222.27762018917301</v>
      </c>
      <c r="D64" s="2"/>
      <c r="E64" s="3">
        <f t="shared" si="1"/>
        <v>82.894616612012157</v>
      </c>
      <c r="F64" s="3">
        <f t="shared" si="2"/>
        <v>88.272094882086833</v>
      </c>
      <c r="G64" s="3"/>
      <c r="H64" s="5" t="s">
        <v>2</v>
      </c>
      <c r="I64" s="6">
        <f t="shared" si="85"/>
        <v>-3.2193321898620231E-2</v>
      </c>
      <c r="J64" s="6">
        <f t="shared" ref="J64" si="109">+AVERAGE(B61:B64)/AVERAGE(B49:B52)-1</f>
        <v>-4.5091485404992193E-3</v>
      </c>
      <c r="K64" s="6">
        <f t="shared" si="87"/>
        <v>6.9689957377682576E-2</v>
      </c>
      <c r="L64" s="6">
        <f t="shared" ref="L64" si="110">+F64/F60-1</f>
        <v>0.10274133219097759</v>
      </c>
    </row>
    <row r="65" spans="1:12" x14ac:dyDescent="0.2">
      <c r="A65" s="1">
        <v>37742</v>
      </c>
      <c r="B65" s="13">
        <v>211.379582521792</v>
      </c>
      <c r="C65" s="2">
        <v>215.61500941046299</v>
      </c>
      <c r="D65" s="2"/>
      <c r="E65" s="3">
        <f t="shared" si="1"/>
        <v>83.664063711966378</v>
      </c>
      <c r="F65" s="3">
        <f t="shared" si="2"/>
        <v>85.626202730100616</v>
      </c>
      <c r="G65" s="3"/>
      <c r="H65" s="5" t="s">
        <v>1</v>
      </c>
      <c r="I65" s="6">
        <f t="shared" si="85"/>
        <v>-4.4615861748335761E-2</v>
      </c>
      <c r="J65" s="6">
        <f t="shared" ref="J65" si="111">+AVERAGE(B61:B65)/AVERAGE(B49:B53)-1</f>
        <v>-1.307705186693664E-2</v>
      </c>
      <c r="K65" s="6">
        <f t="shared" si="87"/>
        <v>-2.9974276191366944E-2</v>
      </c>
      <c r="L65" s="6">
        <f t="shared" ref="L65" si="112">+F65/F60-1</f>
        <v>6.9687458932249147E-2</v>
      </c>
    </row>
    <row r="66" spans="1:12" x14ac:dyDescent="0.2">
      <c r="A66" s="1">
        <v>37773</v>
      </c>
      <c r="B66" s="13">
        <v>214.19300227104799</v>
      </c>
      <c r="C66" s="2">
        <v>219.70928478552801</v>
      </c>
      <c r="D66" s="2"/>
      <c r="E66" s="3">
        <f t="shared" ref="E66:E129" si="113">+B66/AVERAGE(B$73:B$84)*100</f>
        <v>84.777615580799264</v>
      </c>
      <c r="F66" s="3">
        <f t="shared" ref="F66:F129" si="114">+C66/AVERAGE(C$73:C$84)*100</f>
        <v>87.252143587635203</v>
      </c>
      <c r="G66" s="3"/>
      <c r="H66" s="5" t="s">
        <v>3</v>
      </c>
      <c r="I66" s="6">
        <f t="shared" si="85"/>
        <v>-6.1710096622245914E-2</v>
      </c>
      <c r="J66" s="6">
        <f t="shared" ref="J66" si="115">+AVERAGE(B61:B66)/AVERAGE(B49:B54)-1</f>
        <v>-2.1860493364907807E-2</v>
      </c>
      <c r="K66" s="6">
        <f t="shared" si="87"/>
        <v>1.8988823580787129E-2</v>
      </c>
      <c r="L66" s="6">
        <f t="shared" ref="L66" si="116">+F66/F60-1</f>
        <v>8.9999565376494228E-2</v>
      </c>
    </row>
    <row r="67" spans="1:12" x14ac:dyDescent="0.2">
      <c r="A67" s="1">
        <v>37803</v>
      </c>
      <c r="B67" s="13">
        <v>237.32330159063599</v>
      </c>
      <c r="C67" s="2">
        <v>221.99865769255899</v>
      </c>
      <c r="D67" s="2"/>
      <c r="E67" s="3">
        <f t="shared" si="113"/>
        <v>93.932590781639007</v>
      </c>
      <c r="F67" s="3">
        <f t="shared" si="114"/>
        <v>88.161311781436837</v>
      </c>
      <c r="G67" s="3"/>
      <c r="H67" s="5" t="s">
        <v>3</v>
      </c>
      <c r="I67" s="6">
        <f t="shared" si="85"/>
        <v>1.5117200427544608E-2</v>
      </c>
      <c r="J67" s="6">
        <f t="shared" ref="J67" si="117">+AVERAGE(B61:B67)/AVERAGE(B49:B55)-1</f>
        <v>-1.6088530009933377E-2</v>
      </c>
      <c r="K67" s="6">
        <f t="shared" si="87"/>
        <v>1.0420009829196664E-2</v>
      </c>
      <c r="L67" s="6">
        <f t="shared" ref="L67" si="118">+F67/F60-1</f>
        <v>0.10135737156153724</v>
      </c>
    </row>
    <row r="68" spans="1:12" x14ac:dyDescent="0.2">
      <c r="A68" s="1">
        <v>37834</v>
      </c>
      <c r="B68" s="13">
        <v>221.22301531576699</v>
      </c>
      <c r="C68" s="2">
        <v>226.11987739801501</v>
      </c>
      <c r="D68" s="2"/>
      <c r="E68" s="3">
        <f t="shared" si="113"/>
        <v>87.560095573675071</v>
      </c>
      <c r="F68" s="3">
        <f t="shared" si="114"/>
        <v>89.797952917689472</v>
      </c>
      <c r="G68" s="3"/>
      <c r="H68" s="5" t="s">
        <v>2</v>
      </c>
      <c r="I68" s="6">
        <f t="shared" si="85"/>
        <v>7.8697485866420669E-2</v>
      </c>
      <c r="J68" s="6">
        <f t="shared" ref="J68" si="119">+AVERAGE(B61:B68)/AVERAGE(B49:B56)-1</f>
        <v>-4.6728510640439147E-3</v>
      </c>
      <c r="K68" s="6">
        <f t="shared" si="87"/>
        <v>1.856416497420188E-2</v>
      </c>
      <c r="L68" s="6">
        <f t="shared" ref="L68" si="120">+F68/F60-1</f>
        <v>0.12180315150275889</v>
      </c>
    </row>
    <row r="69" spans="1:12" x14ac:dyDescent="0.2">
      <c r="A69" s="1">
        <v>37865</v>
      </c>
      <c r="B69" s="13">
        <v>236.89170703052699</v>
      </c>
      <c r="C69" s="2">
        <v>228.70845296658601</v>
      </c>
      <c r="D69" s="2"/>
      <c r="E69" s="3">
        <f t="shared" si="113"/>
        <v>93.761765603805316</v>
      </c>
      <c r="F69" s="3">
        <f t="shared" si="114"/>
        <v>90.825942096284621</v>
      </c>
      <c r="G69" s="3"/>
      <c r="H69" s="5" t="s">
        <v>4</v>
      </c>
      <c r="I69" s="6">
        <f t="shared" si="85"/>
        <v>0.18276964775751048</v>
      </c>
      <c r="J69" s="6">
        <f t="shared" ref="J69" si="121">+AVERAGE(B61:B69)/AVERAGE(B49:B57)-1</f>
        <v>1.5053688707413526E-2</v>
      </c>
      <c r="K69" s="6">
        <f t="shared" si="87"/>
        <v>1.1447801928596624E-2</v>
      </c>
      <c r="L69" s="6">
        <f t="shared" ref="L69" si="122">+F69/F60-1</f>
        <v>0.13464533178403792</v>
      </c>
    </row>
    <row r="70" spans="1:12" x14ac:dyDescent="0.2">
      <c r="A70" s="1">
        <v>37895</v>
      </c>
      <c r="B70" s="13">
        <v>248.57903522160299</v>
      </c>
      <c r="C70" s="2">
        <v>231.66011533446601</v>
      </c>
      <c r="D70" s="2"/>
      <c r="E70" s="3">
        <f t="shared" si="113"/>
        <v>98.387611481327738</v>
      </c>
      <c r="F70" s="3">
        <f t="shared" si="114"/>
        <v>91.998122275178218</v>
      </c>
      <c r="G70" s="3"/>
      <c r="H70" s="5" t="s">
        <v>5</v>
      </c>
      <c r="I70" s="6">
        <f t="shared" si="85"/>
        <v>0.16616772457222995</v>
      </c>
      <c r="J70" s="6">
        <f t="shared" ref="J70" si="123">+AVERAGE(B61:B70)/AVERAGE(B49:B58)-1</f>
        <v>3.0274394223771095E-2</v>
      </c>
      <c r="K70" s="6">
        <f t="shared" si="87"/>
        <v>1.2905786076526038E-2</v>
      </c>
      <c r="L70" s="6">
        <f t="shared" ref="L70" si="124">+F70/F60-1</f>
        <v>0.14928882170877178</v>
      </c>
    </row>
    <row r="71" spans="1:12" x14ac:dyDescent="0.2">
      <c r="A71" s="1">
        <v>37926</v>
      </c>
      <c r="B71" s="13">
        <v>230.86831200382301</v>
      </c>
      <c r="C71" s="2">
        <v>236.108349197845</v>
      </c>
      <c r="D71" s="2"/>
      <c r="E71" s="3">
        <f t="shared" si="113"/>
        <v>91.377705141274362</v>
      </c>
      <c r="F71" s="3">
        <f t="shared" si="114"/>
        <v>93.764629048607446</v>
      </c>
      <c r="G71" s="3"/>
      <c r="H71" s="5" t="s">
        <v>6</v>
      </c>
      <c r="I71" s="6">
        <f t="shared" si="85"/>
        <v>0.13678855947232771</v>
      </c>
      <c r="J71" s="6">
        <f t="shared" ref="J71" si="125">+AVERAGE(B61:B71)/AVERAGE(B49:B59)-1</f>
        <v>3.9600964494673985E-2</v>
      </c>
      <c r="K71" s="6">
        <f t="shared" si="87"/>
        <v>1.9201552485444973E-2</v>
      </c>
      <c r="L71" s="6">
        <f t="shared" ref="L71" si="126">+F71/F60-1</f>
        <v>0.17135695133974793</v>
      </c>
    </row>
    <row r="72" spans="1:12" x14ac:dyDescent="0.2">
      <c r="A72" s="1">
        <v>37956</v>
      </c>
      <c r="B72" s="13">
        <v>252.62009021049499</v>
      </c>
      <c r="C72" s="2">
        <v>241.21983874144399</v>
      </c>
      <c r="D72" s="2"/>
      <c r="E72" s="3">
        <f t="shared" si="113"/>
        <v>99.987061522910466</v>
      </c>
      <c r="F72" s="3">
        <f t="shared" si="114"/>
        <v>95.794531517409126</v>
      </c>
      <c r="G72" s="3"/>
      <c r="H72" s="5" t="s">
        <v>7</v>
      </c>
      <c r="I72" s="6">
        <f t="shared" si="85"/>
        <v>0.22491508156825279</v>
      </c>
      <c r="J72" s="6">
        <f t="shared" ref="J72" si="127">+AVERAGE(B61:B72)/AVERAGE(B49:B60)-1</f>
        <v>5.473326715185256E-2</v>
      </c>
      <c r="K72" s="6">
        <f t="shared" si="87"/>
        <v>2.1648914834925481E-2</v>
      </c>
      <c r="L72" s="6">
        <f t="shared" ref="L72" si="128">+F72/F60-1</f>
        <v>0.19671555822060016</v>
      </c>
    </row>
    <row r="73" spans="1:12" x14ac:dyDescent="0.2">
      <c r="A73" s="1">
        <v>37987</v>
      </c>
      <c r="B73" s="13">
        <v>237.08220898875999</v>
      </c>
      <c r="C73" s="2">
        <v>238.98585253963299</v>
      </c>
      <c r="D73" s="2"/>
      <c r="E73" s="3">
        <f t="shared" si="113"/>
        <v>93.837166301359517</v>
      </c>
      <c r="F73" s="3">
        <f t="shared" si="114"/>
        <v>94.907358792581022</v>
      </c>
      <c r="G73" s="3"/>
      <c r="H73" s="5" t="s">
        <v>14</v>
      </c>
      <c r="I73" s="6">
        <f t="shared" si="85"/>
        <v>0.12356230908525001</v>
      </c>
      <c r="J73" s="6">
        <f t="shared" ref="J73" si="129">+AVERAGE(B73:B73)/AVERAGE(B61:B61)-1</f>
        <v>0.12356230908525001</v>
      </c>
      <c r="K73" s="6">
        <f t="shared" si="87"/>
        <v>-9.2612042751821777E-3</v>
      </c>
      <c r="L73" s="6">
        <f t="shared" ref="L73" si="130">+F73/F72-1</f>
        <v>-9.2612042751821777E-3</v>
      </c>
    </row>
    <row r="74" spans="1:12" x14ac:dyDescent="0.2">
      <c r="A74" s="1">
        <v>38018</v>
      </c>
      <c r="B74" s="13">
        <v>228.26534455737001</v>
      </c>
      <c r="C74" s="2">
        <v>249.397923157816</v>
      </c>
      <c r="D74" s="2"/>
      <c r="E74" s="3">
        <f t="shared" si="113"/>
        <v>90.347450318731276</v>
      </c>
      <c r="F74" s="3">
        <f t="shared" si="114"/>
        <v>99.042256785213056</v>
      </c>
      <c r="G74" s="3"/>
      <c r="H74" s="5" t="s">
        <v>0</v>
      </c>
      <c r="I74" s="6">
        <f t="shared" si="85"/>
        <v>0.21107593545968828</v>
      </c>
      <c r="J74" s="6">
        <f t="shared" ref="J74" si="131">+AVERAGE(B73:B74)/AVERAGE(B61:B62)-1</f>
        <v>0.16485160278889244</v>
      </c>
      <c r="K74" s="6">
        <f t="shared" si="87"/>
        <v>4.3567727995347694E-2</v>
      </c>
      <c r="L74" s="6">
        <f t="shared" ref="L74" si="132">+F74/F72-1</f>
        <v>3.3903034091395057E-2</v>
      </c>
    </row>
    <row r="75" spans="1:12" x14ac:dyDescent="0.2">
      <c r="A75" s="1">
        <v>38047</v>
      </c>
      <c r="B75" s="13">
        <v>259.71541331085598</v>
      </c>
      <c r="C75" s="2">
        <v>249.49744609036699</v>
      </c>
      <c r="D75" s="2"/>
      <c r="E75" s="3">
        <f t="shared" si="113"/>
        <v>102.79539124351813</v>
      </c>
      <c r="F75" s="3">
        <f t="shared" si="114"/>
        <v>99.081779872321917</v>
      </c>
      <c r="G75" s="3"/>
      <c r="H75" s="5" t="s">
        <v>1</v>
      </c>
      <c r="I75" s="6">
        <f t="shared" si="85"/>
        <v>0.28677139585068478</v>
      </c>
      <c r="J75" s="6">
        <f t="shared" ref="J75" si="133">+AVERAGE(B73:B75)/AVERAGE(B61:B63)-1</f>
        <v>0.20577396759290645</v>
      </c>
      <c r="K75" s="6">
        <f t="shared" si="87"/>
        <v>3.9905277193530431E-4</v>
      </c>
      <c r="L75" s="6">
        <f t="shared" ref="L75" si="134">+F75/F72-1</f>
        <v>3.4315615963061319E-2</v>
      </c>
    </row>
    <row r="76" spans="1:12" x14ac:dyDescent="0.2">
      <c r="A76" s="1">
        <v>38078</v>
      </c>
      <c r="B76" s="13">
        <v>227.60050853525701</v>
      </c>
      <c r="C76" s="2">
        <v>242.42021158200799</v>
      </c>
      <c r="D76" s="2"/>
      <c r="E76" s="3">
        <f t="shared" si="113"/>
        <v>90.084308142706121</v>
      </c>
      <c r="F76" s="3">
        <f t="shared" si="114"/>
        <v>96.271230094557666</v>
      </c>
      <c r="G76" s="3"/>
      <c r="H76" s="5" t="s">
        <v>2</v>
      </c>
      <c r="I76" s="6">
        <f t="shared" si="85"/>
        <v>8.673291251644577E-2</v>
      </c>
      <c r="J76" s="6">
        <f t="shared" ref="J76" si="135">+AVERAGE(B73:B76)/AVERAGE(B61:B64)-1</f>
        <v>0.17502332827631428</v>
      </c>
      <c r="K76" s="6">
        <f t="shared" si="87"/>
        <v>-2.8365959729285906E-2</v>
      </c>
      <c r="L76" s="6">
        <f t="shared" ref="L76" si="136">+F76/F72-1</f>
        <v>4.9762608532817332E-3</v>
      </c>
    </row>
    <row r="77" spans="1:12" x14ac:dyDescent="0.2">
      <c r="A77" s="1">
        <v>38108</v>
      </c>
      <c r="B77" s="13">
        <v>245.32915315427999</v>
      </c>
      <c r="C77" s="2">
        <v>258.20889628988198</v>
      </c>
      <c r="D77" s="2"/>
      <c r="E77" s="3">
        <f t="shared" si="113"/>
        <v>97.101307775486816</v>
      </c>
      <c r="F77" s="3">
        <f t="shared" si="114"/>
        <v>102.54131825462829</v>
      </c>
      <c r="G77" s="3"/>
      <c r="H77" s="5" t="s">
        <v>1</v>
      </c>
      <c r="I77" s="6">
        <f t="shared" si="85"/>
        <v>0.16060950744373814</v>
      </c>
      <c r="J77" s="6">
        <f t="shared" ref="J77" si="137">+AVERAGE(B73:B77)/AVERAGE(B61:B65)-1</f>
        <v>0.17204253825470195</v>
      </c>
      <c r="K77" s="6">
        <f t="shared" si="87"/>
        <v>6.5129407341239398E-2</v>
      </c>
      <c r="L77" s="6">
        <f t="shared" ref="L77" si="138">+F77/F72-1</f>
        <v>7.0429769114670693E-2</v>
      </c>
    </row>
    <row r="78" spans="1:12" x14ac:dyDescent="0.2">
      <c r="A78" s="1">
        <v>38139</v>
      </c>
      <c r="B78" s="13">
        <v>261.83556137160298</v>
      </c>
      <c r="C78" s="2">
        <v>259.48971756947702</v>
      </c>
      <c r="D78" s="2"/>
      <c r="E78" s="3">
        <f t="shared" si="113"/>
        <v>103.63454609620999</v>
      </c>
      <c r="F78" s="3">
        <f t="shared" si="114"/>
        <v>103.04996495249732</v>
      </c>
      <c r="G78" s="3"/>
      <c r="H78" s="5" t="s">
        <v>3</v>
      </c>
      <c r="I78" s="6">
        <f t="shared" si="85"/>
        <v>0.22242817736998854</v>
      </c>
      <c r="J78" s="6">
        <f t="shared" ref="J78" si="139">+AVERAGE(B73:B78)/AVERAGE(B61:B66)-1</f>
        <v>0.18077177490502083</v>
      </c>
      <c r="K78" s="6">
        <f t="shared" si="87"/>
        <v>4.9604072438971247E-3</v>
      </c>
      <c r="L78" s="6">
        <f t="shared" ref="L78" si="140">+F78/F72-1</f>
        <v>7.5739536695470289E-2</v>
      </c>
    </row>
    <row r="79" spans="1:12" x14ac:dyDescent="0.2">
      <c r="A79" s="1">
        <v>38169</v>
      </c>
      <c r="B79" s="13">
        <v>260.09348764749899</v>
      </c>
      <c r="C79" s="2">
        <v>252.97502600443801</v>
      </c>
      <c r="D79" s="2"/>
      <c r="E79" s="3">
        <f t="shared" si="113"/>
        <v>102.94503311058682</v>
      </c>
      <c r="F79" s="3">
        <f t="shared" si="114"/>
        <v>100.46281528143626</v>
      </c>
      <c r="G79" s="3"/>
      <c r="H79" s="5" t="s">
        <v>3</v>
      </c>
      <c r="I79" s="6">
        <f t="shared" si="85"/>
        <v>9.5945850678159639E-2</v>
      </c>
      <c r="J79" s="6">
        <f t="shared" ref="J79" si="141">+AVERAGE(B73:B79)/AVERAGE(B61:B67)-1</f>
        <v>0.16711108896933036</v>
      </c>
      <c r="K79" s="6">
        <f t="shared" si="87"/>
        <v>-2.5105779242658111E-2</v>
      </c>
      <c r="L79" s="6">
        <f t="shared" ref="L79" si="142">+F79/F72-1</f>
        <v>4.8732257364594522E-2</v>
      </c>
    </row>
    <row r="80" spans="1:12" x14ac:dyDescent="0.2">
      <c r="A80" s="1">
        <v>38200</v>
      </c>
      <c r="B80" s="13">
        <v>259.45035983085302</v>
      </c>
      <c r="C80" s="2">
        <v>252.043388433415</v>
      </c>
      <c r="D80" s="2"/>
      <c r="E80" s="3">
        <f t="shared" si="113"/>
        <v>102.69048304484781</v>
      </c>
      <c r="F80" s="3">
        <f t="shared" si="114"/>
        <v>100.0928383130169</v>
      </c>
      <c r="G80" s="3"/>
      <c r="H80" s="5" t="s">
        <v>2</v>
      </c>
      <c r="I80" s="6">
        <f t="shared" si="85"/>
        <v>0.17280003376014696</v>
      </c>
      <c r="J80" s="6">
        <f t="shared" ref="J80" si="143">+AVERAGE(B73:B80)/AVERAGE(B61:B68)-1</f>
        <v>0.16785363437029566</v>
      </c>
      <c r="K80" s="6">
        <f t="shared" si="87"/>
        <v>-3.6827254679545618E-3</v>
      </c>
      <c r="L80" s="6">
        <f t="shared" ref="L80" si="144">+F80/F72-1</f>
        <v>4.487006437133223E-2</v>
      </c>
    </row>
    <row r="81" spans="1:12" x14ac:dyDescent="0.2">
      <c r="A81" s="1">
        <v>38231</v>
      </c>
      <c r="B81" s="13">
        <v>261.461082603205</v>
      </c>
      <c r="C81" s="2">
        <v>250.893991323731</v>
      </c>
      <c r="D81" s="2"/>
      <c r="E81" s="3">
        <f t="shared" si="113"/>
        <v>103.48632735547707</v>
      </c>
      <c r="F81" s="3">
        <f t="shared" si="114"/>
        <v>99.636383494772602</v>
      </c>
      <c r="G81" s="3"/>
      <c r="H81" s="5" t="s">
        <v>4</v>
      </c>
      <c r="I81" s="6">
        <f t="shared" si="85"/>
        <v>0.10371564239482578</v>
      </c>
      <c r="J81" s="6">
        <f t="shared" ref="J81" si="145">+AVERAGE(B73:B81)/AVERAGE(B61:B69)-1</f>
        <v>0.15998844174232363</v>
      </c>
      <c r="K81" s="6">
        <f t="shared" si="87"/>
        <v>-4.5603144634268622E-3</v>
      </c>
      <c r="L81" s="6">
        <f t="shared" ref="L81" si="146">+F81/F72-1</f>
        <v>4.0105128304378068E-2</v>
      </c>
    </row>
    <row r="82" spans="1:12" x14ac:dyDescent="0.2">
      <c r="A82" s="1">
        <v>38261</v>
      </c>
      <c r="B82" s="13">
        <v>257.118918020607</v>
      </c>
      <c r="C82" s="2">
        <v>255.614061589134</v>
      </c>
      <c r="D82" s="2"/>
      <c r="E82" s="3">
        <f t="shared" si="113"/>
        <v>101.76769810116453</v>
      </c>
      <c r="F82" s="3">
        <f t="shared" si="114"/>
        <v>101.51084341549324</v>
      </c>
      <c r="G82" s="3"/>
      <c r="H82" s="5" t="s">
        <v>5</v>
      </c>
      <c r="I82" s="6">
        <f t="shared" si="85"/>
        <v>3.4354799033598615E-2</v>
      </c>
      <c r="J82" s="6">
        <f t="shared" ref="J82" si="147">+AVERAGE(B73:B82)/AVERAGE(B61:B70)-1</f>
        <v>0.14566511027804419</v>
      </c>
      <c r="K82" s="6">
        <f t="shared" si="87"/>
        <v>1.8813006403619381E-2</v>
      </c>
      <c r="L82" s="6">
        <f t="shared" ref="L82" si="148">+F82/F72-1</f>
        <v>5.967263274360568E-2</v>
      </c>
    </row>
    <row r="83" spans="1:12" x14ac:dyDescent="0.2">
      <c r="A83" s="1">
        <v>38292</v>
      </c>
      <c r="B83" s="13">
        <v>267.90866231598602</v>
      </c>
      <c r="C83" s="2">
        <v>255.60027722018299</v>
      </c>
      <c r="D83" s="2"/>
      <c r="E83" s="3">
        <f t="shared" si="113"/>
        <v>106.03828016682526</v>
      </c>
      <c r="F83" s="3">
        <f t="shared" si="114"/>
        <v>101.50536929208442</v>
      </c>
      <c r="G83" s="3"/>
      <c r="H83" s="5" t="s">
        <v>6</v>
      </c>
      <c r="I83" s="6">
        <f t="shared" si="85"/>
        <v>0.16043929974915594</v>
      </c>
      <c r="J83" s="6">
        <f t="shared" ref="J83" si="149">+AVERAGE(B73:B83)/AVERAGE(B61:B71)-1</f>
        <v>0.14707970255736047</v>
      </c>
      <c r="K83" s="6">
        <f t="shared" si="87"/>
        <v>-5.3926489275712974E-5</v>
      </c>
      <c r="L83" s="6">
        <f t="shared" ref="L83" si="150">+F83/F72-1</f>
        <v>5.9615488318740306E-2</v>
      </c>
    </row>
    <row r="84" spans="1:12" x14ac:dyDescent="0.2">
      <c r="A84" s="1">
        <v>38322</v>
      </c>
      <c r="B84" s="13">
        <v>265.97265525376997</v>
      </c>
      <c r="C84" s="2">
        <v>256.58855984425702</v>
      </c>
      <c r="D84" s="2"/>
      <c r="E84" s="3">
        <f t="shared" si="113"/>
        <v>105.27200834308674</v>
      </c>
      <c r="F84" s="3">
        <f t="shared" si="114"/>
        <v>101.89784145139735</v>
      </c>
      <c r="G84" s="3"/>
      <c r="H84" s="5" t="s">
        <v>7</v>
      </c>
      <c r="I84" s="6">
        <f t="shared" si="85"/>
        <v>5.2856307002934644E-2</v>
      </c>
      <c r="J84" s="6">
        <f t="shared" ref="J84" si="151">+AVERAGE(B73:B84)/AVERAGE(B61:B72)-1</f>
        <v>0.13814420783285009</v>
      </c>
      <c r="K84" s="6">
        <f t="shared" si="87"/>
        <v>3.8665162449049717E-3</v>
      </c>
      <c r="L84" s="6">
        <f t="shared" ref="L84" si="152">+F84/F72-1</f>
        <v>6.371250881767776E-2</v>
      </c>
    </row>
    <row r="85" spans="1:12" x14ac:dyDescent="0.2">
      <c r="A85" s="1">
        <v>38353</v>
      </c>
      <c r="B85" s="13">
        <v>246.173226452752</v>
      </c>
      <c r="C85" s="2">
        <v>257.13503724843002</v>
      </c>
      <c r="D85" s="2"/>
      <c r="E85" s="3">
        <f t="shared" si="113"/>
        <v>97.435392086650836</v>
      </c>
      <c r="F85" s="3">
        <f t="shared" si="114"/>
        <v>102.11486152400305</v>
      </c>
      <c r="G85" s="3"/>
      <c r="H85" s="5" t="s">
        <v>15</v>
      </c>
      <c r="I85" s="6">
        <f t="shared" si="85"/>
        <v>3.8345422470831725E-2</v>
      </c>
      <c r="J85" s="6">
        <f t="shared" ref="J85" si="153">+AVERAGE(B85:B85)/AVERAGE(B73:B73)-1</f>
        <v>3.8345422470831725E-2</v>
      </c>
      <c r="K85" s="6">
        <f t="shared" si="87"/>
        <v>2.1297808620333036E-3</v>
      </c>
      <c r="L85" s="6">
        <f t="shared" ref="L85" si="154">+F85/F84-1</f>
        <v>2.1297808620333036E-3</v>
      </c>
    </row>
    <row r="86" spans="1:12" x14ac:dyDescent="0.2">
      <c r="A86" s="1">
        <v>38384</v>
      </c>
      <c r="B86" s="13">
        <v>237.879253231733</v>
      </c>
      <c r="C86" s="2">
        <v>258.990092464687</v>
      </c>
      <c r="D86" s="2"/>
      <c r="E86" s="3">
        <f t="shared" si="113"/>
        <v>94.152636506806047</v>
      </c>
      <c r="F86" s="3">
        <f t="shared" si="114"/>
        <v>102.85155111930095</v>
      </c>
      <c r="G86" s="3"/>
      <c r="H86" s="5" t="s">
        <v>0</v>
      </c>
      <c r="I86" s="6">
        <f t="shared" si="85"/>
        <v>4.2117250399991146E-2</v>
      </c>
      <c r="J86" s="6">
        <f t="shared" ref="J86" si="155">+AVERAGE(B85:B86)/AVERAGE(B73:B74)-1</f>
        <v>4.019560433017455E-2</v>
      </c>
      <c r="K86" s="6">
        <f t="shared" si="87"/>
        <v>7.2143230113936863E-3</v>
      </c>
      <c r="L86" s="6">
        <f t="shared" ref="L86" si="156">+F86/F84-1</f>
        <v>9.3594688005091964E-3</v>
      </c>
    </row>
    <row r="87" spans="1:12" x14ac:dyDescent="0.2">
      <c r="A87" s="1">
        <v>38412</v>
      </c>
      <c r="B87" s="13">
        <v>245.60593806736199</v>
      </c>
      <c r="C87" s="2">
        <v>242.37312627530099</v>
      </c>
      <c r="D87" s="2"/>
      <c r="E87" s="3">
        <f t="shared" si="113"/>
        <v>97.210859276754519</v>
      </c>
      <c r="F87" s="3">
        <f t="shared" si="114"/>
        <v>96.25253132201523</v>
      </c>
      <c r="G87" s="3"/>
      <c r="H87" s="5" t="s">
        <v>1</v>
      </c>
      <c r="I87" s="6">
        <f t="shared" si="85"/>
        <v>-5.4326676509592442E-2</v>
      </c>
      <c r="J87" s="6">
        <f t="shared" ref="J87" si="157">+AVERAGE(B85:B87)/AVERAGE(B73:B75)-1</f>
        <v>6.3380024976056326E-3</v>
      </c>
      <c r="K87" s="6">
        <f t="shared" si="87"/>
        <v>-6.4160624953835566E-2</v>
      </c>
      <c r="L87" s="6">
        <f t="shared" ref="L87" si="158">+F87/F84-1</f>
        <v>-5.5401665520802945E-2</v>
      </c>
    </row>
    <row r="88" spans="1:12" x14ac:dyDescent="0.2">
      <c r="A88" s="1">
        <v>38443</v>
      </c>
      <c r="B88" s="13">
        <v>262.59821896668001</v>
      </c>
      <c r="C88" s="2">
        <v>281.45440276300099</v>
      </c>
      <c r="D88" s="2"/>
      <c r="E88" s="3">
        <f t="shared" si="113"/>
        <v>103.9364060623605</v>
      </c>
      <c r="F88" s="3">
        <f t="shared" si="114"/>
        <v>111.77269994402641</v>
      </c>
      <c r="G88" s="3"/>
      <c r="H88" s="5" t="s">
        <v>2</v>
      </c>
      <c r="I88" s="6">
        <f t="shared" si="85"/>
        <v>0.1537681556893431</v>
      </c>
      <c r="J88" s="6">
        <f t="shared" ref="J88" si="159">+AVERAGE(B85:B88)/AVERAGE(B73:B76)-1</f>
        <v>4.1560490507922765E-2</v>
      </c>
      <c r="K88" s="6">
        <f t="shared" si="87"/>
        <v>0.16124426452835894</v>
      </c>
      <c r="L88" s="6">
        <f t="shared" ref="L88" si="160">+F88/F84-1</f>
        <v>9.6909398197007945E-2</v>
      </c>
    </row>
    <row r="89" spans="1:12" x14ac:dyDescent="0.2">
      <c r="A89" s="1">
        <v>38473</v>
      </c>
      <c r="B89" s="13">
        <v>275.22429790278397</v>
      </c>
      <c r="C89" s="2">
        <v>279.87770249169102</v>
      </c>
      <c r="D89" s="2"/>
      <c r="E89" s="3">
        <f t="shared" si="113"/>
        <v>108.93380959556889</v>
      </c>
      <c r="F89" s="3">
        <f t="shared" si="114"/>
        <v>111.14655217516317</v>
      </c>
      <c r="G89" s="3"/>
      <c r="H89" s="5" t="s">
        <v>1</v>
      </c>
      <c r="I89" s="6">
        <f t="shared" si="85"/>
        <v>0.12185728587137712</v>
      </c>
      <c r="J89" s="6">
        <f t="shared" ref="J89" si="161">+AVERAGE(B85:B89)/AVERAGE(B73:B77)-1</f>
        <v>5.8003951292334044E-2</v>
      </c>
      <c r="K89" s="6">
        <f t="shared" si="87"/>
        <v>-5.6019740882774505E-3</v>
      </c>
      <c r="L89" s="6">
        <f t="shared" ref="L89" si="162">+F89/F84-1</f>
        <v>9.0764540171120345E-2</v>
      </c>
    </row>
    <row r="90" spans="1:12" x14ac:dyDescent="0.2">
      <c r="A90" s="1">
        <v>38504</v>
      </c>
      <c r="B90" s="13">
        <v>264.62825388445401</v>
      </c>
      <c r="C90" s="2">
        <v>263.27194823032403</v>
      </c>
      <c r="D90" s="2"/>
      <c r="E90" s="3">
        <f t="shared" si="113"/>
        <v>104.73989412242727</v>
      </c>
      <c r="F90" s="3">
        <f t="shared" si="114"/>
        <v>104.55198491958208</v>
      </c>
      <c r="G90" s="3"/>
      <c r="H90" s="5" t="s">
        <v>3</v>
      </c>
      <c r="I90" s="6">
        <f t="shared" si="85"/>
        <v>1.0665825903180215E-2</v>
      </c>
      <c r="J90" s="6">
        <f t="shared" ref="J90" si="163">+AVERAGE(B85:B90)/AVERAGE(B73:B78)-1</f>
        <v>4.9513359919219457E-2</v>
      </c>
      <c r="K90" s="6">
        <f t="shared" si="87"/>
        <v>-5.9332180139859636E-2</v>
      </c>
      <c r="L90" s="6">
        <f t="shared" ref="L90" si="164">+F90/F84-1</f>
        <v>2.6047101983516452E-2</v>
      </c>
    </row>
    <row r="91" spans="1:12" x14ac:dyDescent="0.2">
      <c r="A91" s="1">
        <v>38534</v>
      </c>
      <c r="B91" s="13">
        <v>260.642998595932</v>
      </c>
      <c r="C91" s="2">
        <v>261.31295597212397</v>
      </c>
      <c r="D91" s="2"/>
      <c r="E91" s="3">
        <f t="shared" si="113"/>
        <v>103.16252960883723</v>
      </c>
      <c r="F91" s="3">
        <f t="shared" si="114"/>
        <v>103.77401928209713</v>
      </c>
      <c r="G91" s="3"/>
      <c r="H91" s="5" t="s">
        <v>3</v>
      </c>
      <c r="I91" s="6">
        <f t="shared" si="85"/>
        <v>2.1127439729584641E-3</v>
      </c>
      <c r="J91" s="6">
        <f t="shared" ref="J91" si="165">+AVERAGE(B85:B91)/AVERAGE(B73:B79)-1</f>
        <v>4.234524774358106E-2</v>
      </c>
      <c r="K91" s="6">
        <f t="shared" si="87"/>
        <v>-7.4409456509442196E-3</v>
      </c>
      <c r="L91" s="6">
        <f t="shared" ref="L91" si="166">+F91/F84-1</f>
        <v>1.8412341262348253E-2</v>
      </c>
    </row>
    <row r="92" spans="1:12" x14ac:dyDescent="0.2">
      <c r="A92" s="1">
        <v>38565</v>
      </c>
      <c r="B92" s="13">
        <v>280.11624408300202</v>
      </c>
      <c r="C92" s="2">
        <v>260.488132506618</v>
      </c>
      <c r="D92" s="2"/>
      <c r="E92" s="3">
        <f t="shared" si="113"/>
        <v>110.870042471112</v>
      </c>
      <c r="F92" s="3">
        <f t="shared" si="114"/>
        <v>103.44646091096581</v>
      </c>
      <c r="G92" s="3"/>
      <c r="H92" s="5" t="s">
        <v>2</v>
      </c>
      <c r="I92" s="6">
        <f t="shared" si="85"/>
        <v>7.9652555755258758E-2</v>
      </c>
      <c r="J92" s="6">
        <f t="shared" ref="J92" si="167">+AVERAGE(B85:B92)/AVERAGE(B73:B80)-1</f>
        <v>4.7235381738139237E-2</v>
      </c>
      <c r="K92" s="6">
        <f t="shared" si="87"/>
        <v>-3.1564583640235622E-3</v>
      </c>
      <c r="L92" s="6">
        <f t="shared" ref="L92" si="168">+F92/F84-1</f>
        <v>1.5197765109745909E-2</v>
      </c>
    </row>
    <row r="93" spans="1:12" x14ac:dyDescent="0.2">
      <c r="A93" s="1">
        <v>38596</v>
      </c>
      <c r="B93" s="13">
        <v>275.07546206246099</v>
      </c>
      <c r="C93" s="2">
        <v>261.37298731275303</v>
      </c>
      <c r="D93" s="2"/>
      <c r="E93" s="3">
        <f t="shared" si="113"/>
        <v>108.87490035240145</v>
      </c>
      <c r="F93" s="3">
        <f t="shared" si="114"/>
        <v>103.79785925389184</v>
      </c>
      <c r="G93" s="3"/>
      <c r="H93" s="5" t="s">
        <v>4</v>
      </c>
      <c r="I93" s="6">
        <f t="shared" si="85"/>
        <v>5.2070385862806434E-2</v>
      </c>
      <c r="J93" s="6">
        <f t="shared" ref="J93" si="169">+AVERAGE(B85:B93)/AVERAGE(B73:B81)-1</f>
        <v>4.7799531474031598E-2</v>
      </c>
      <c r="K93" s="6">
        <f t="shared" si="87"/>
        <v>3.3969102454696198E-3</v>
      </c>
      <c r="L93" s="6">
        <f t="shared" ref="L93" si="170">+F93/F84-1</f>
        <v>1.8646300799225024E-2</v>
      </c>
    </row>
    <row r="94" spans="1:12" x14ac:dyDescent="0.2">
      <c r="A94" s="1">
        <v>38626</v>
      </c>
      <c r="B94" s="13">
        <v>268.73846565136603</v>
      </c>
      <c r="C94" s="2">
        <v>266.51611636019999</v>
      </c>
      <c r="D94" s="2"/>
      <c r="E94" s="3">
        <f t="shared" si="113"/>
        <v>106.36671642491314</v>
      </c>
      <c r="F94" s="3">
        <f t="shared" si="114"/>
        <v>105.84032657417661</v>
      </c>
      <c r="G94" s="3"/>
      <c r="H94" s="5" t="s">
        <v>5</v>
      </c>
      <c r="I94" s="6">
        <f t="shared" si="85"/>
        <v>4.519133683437393E-2</v>
      </c>
      <c r="J94" s="6">
        <f t="shared" ref="J94" si="171">+AVERAGE(B85:B94)/AVERAGE(B73:B82)-1</f>
        <v>4.7531065076947598E-2</v>
      </c>
      <c r="K94" s="6">
        <f t="shared" si="87"/>
        <v>1.9677354956703308E-2</v>
      </c>
      <c r="L94" s="6">
        <f t="shared" ref="L94" si="172">+F94/F84-1</f>
        <v>3.86905656353842E-2</v>
      </c>
    </row>
    <row r="95" spans="1:12" x14ac:dyDescent="0.2">
      <c r="A95" s="1">
        <v>38657</v>
      </c>
      <c r="B95" s="13">
        <v>272.87898797833401</v>
      </c>
      <c r="C95" s="2">
        <v>260.86764780343401</v>
      </c>
      <c r="D95" s="2"/>
      <c r="E95" s="3">
        <f t="shared" si="113"/>
        <v>108.00553565064681</v>
      </c>
      <c r="F95" s="3">
        <f t="shared" si="114"/>
        <v>103.59717608535554</v>
      </c>
      <c r="G95" s="3"/>
      <c r="H95" s="5" t="s">
        <v>6</v>
      </c>
      <c r="I95" s="6">
        <f t="shared" si="85"/>
        <v>1.8552314133410519E-2</v>
      </c>
      <c r="J95" s="6">
        <f t="shared" ref="J95" si="173">+AVERAGE(B85:B95)/AVERAGE(B73:B83)-1</f>
        <v>4.4724105782169232E-2</v>
      </c>
      <c r="K95" s="6">
        <f t="shared" si="87"/>
        <v>-2.119372229307126E-2</v>
      </c>
      <c r="L95" s="6">
        <f t="shared" ref="L95" si="174">+F95/F84-1</f>
        <v>1.6676846238874665E-2</v>
      </c>
    </row>
    <row r="96" spans="1:12" x14ac:dyDescent="0.2">
      <c r="A96" s="1">
        <v>38687</v>
      </c>
      <c r="B96" s="13">
        <v>258.03493359633097</v>
      </c>
      <c r="C96" s="2">
        <v>258.96003082790202</v>
      </c>
      <c r="D96" s="2"/>
      <c r="E96" s="3">
        <f t="shared" si="113"/>
        <v>102.13025717415647</v>
      </c>
      <c r="F96" s="3">
        <f t="shared" si="114"/>
        <v>102.83961287894938</v>
      </c>
      <c r="G96" s="3"/>
      <c r="H96" s="5" t="s">
        <v>7</v>
      </c>
      <c r="I96" s="6">
        <f t="shared" si="85"/>
        <v>-2.9844126832758278E-2</v>
      </c>
      <c r="J96" s="6">
        <f t="shared" ref="J96" si="175">+AVERAGE(B85:B96)/AVERAGE(B73:B84)-1</f>
        <v>3.8182482777196158E-2</v>
      </c>
      <c r="K96" s="6">
        <f t="shared" si="87"/>
        <v>-7.3125854876776586E-3</v>
      </c>
      <c r="L96" s="6">
        <f t="shared" ref="L96" si="176">+F96/F84-1</f>
        <v>9.2423098874103715E-3</v>
      </c>
    </row>
    <row r="97" spans="1:12" x14ac:dyDescent="0.2">
      <c r="A97" s="1">
        <v>38718</v>
      </c>
      <c r="B97" s="13">
        <v>257.76343497474602</v>
      </c>
      <c r="C97" s="2">
        <v>260.225909961235</v>
      </c>
      <c r="D97" s="2"/>
      <c r="E97" s="3">
        <f t="shared" si="113"/>
        <v>102.02279798768726</v>
      </c>
      <c r="F97" s="3">
        <f t="shared" si="114"/>
        <v>103.3423256706003</v>
      </c>
      <c r="G97" s="3"/>
      <c r="H97" s="5" t="s">
        <v>16</v>
      </c>
      <c r="I97" s="6">
        <f t="shared" si="85"/>
        <v>4.708151527687976E-2</v>
      </c>
      <c r="J97" s="6">
        <f t="shared" ref="J97" si="177">+AVERAGE(B97:B97)/AVERAGE(B85:B85)-1</f>
        <v>4.708151527687976E-2</v>
      </c>
      <c r="K97" s="6">
        <f t="shared" si="87"/>
        <v>4.8883185922010686E-3</v>
      </c>
      <c r="L97" s="6">
        <f t="shared" ref="L97" si="178">+F97/F96-1</f>
        <v>4.8883185922010686E-3</v>
      </c>
    </row>
    <row r="98" spans="1:12" x14ac:dyDescent="0.2">
      <c r="A98" s="1">
        <v>38749</v>
      </c>
      <c r="B98" s="13">
        <v>226.36771360126099</v>
      </c>
      <c r="C98" s="2">
        <v>250.25449009305601</v>
      </c>
      <c r="D98" s="2"/>
      <c r="E98" s="3">
        <f t="shared" si="113"/>
        <v>89.596367762319588</v>
      </c>
      <c r="F98" s="3">
        <f t="shared" si="114"/>
        <v>99.382421295324392</v>
      </c>
      <c r="G98" s="3"/>
      <c r="H98" s="5" t="s">
        <v>0</v>
      </c>
      <c r="I98" s="6">
        <f t="shared" si="85"/>
        <v>-4.8392364924981113E-2</v>
      </c>
      <c r="J98" s="6">
        <f t="shared" ref="J98" si="179">+AVERAGE(B97:B98)/AVERAGE(B85:B86)-1</f>
        <v>1.625214100200445E-4</v>
      </c>
      <c r="K98" s="6">
        <f t="shared" si="87"/>
        <v>-3.8318320683994989E-2</v>
      </c>
      <c r="L98" s="6">
        <f t="shared" ref="L98" si="180">+F98/F96-1</f>
        <v>-3.3617314251215502E-2</v>
      </c>
    </row>
    <row r="99" spans="1:12" x14ac:dyDescent="0.2">
      <c r="A99" s="1">
        <v>38777</v>
      </c>
      <c r="B99" s="13">
        <v>257.71712654731499</v>
      </c>
      <c r="C99" s="2">
        <v>250.10646836543799</v>
      </c>
      <c r="D99" s="2"/>
      <c r="E99" s="3">
        <f t="shared" si="113"/>
        <v>102.00446910664411</v>
      </c>
      <c r="F99" s="3">
        <f t="shared" si="114"/>
        <v>99.323638103504237</v>
      </c>
      <c r="G99" s="3"/>
      <c r="H99" s="5" t="s">
        <v>1</v>
      </c>
      <c r="I99" s="6">
        <f t="shared" si="85"/>
        <v>4.9311464434672159E-2</v>
      </c>
      <c r="J99" s="6">
        <f t="shared" ref="J99" si="181">+AVERAGE(B97:B99)/AVERAGE(B85:B87)-1</f>
        <v>1.670625195969544E-2</v>
      </c>
      <c r="K99" s="6">
        <f t="shared" si="87"/>
        <v>-5.9148480238246925E-4</v>
      </c>
      <c r="L99" s="6">
        <f t="shared" ref="L99" si="182">+F99/F96-1</f>
        <v>-3.4188914923121483E-2</v>
      </c>
    </row>
    <row r="100" spans="1:12" x14ac:dyDescent="0.2">
      <c r="A100" s="1">
        <v>38808</v>
      </c>
      <c r="B100" s="13">
        <v>199.007130360833</v>
      </c>
      <c r="C100" s="2">
        <v>231.772224911753</v>
      </c>
      <c r="D100" s="2"/>
      <c r="E100" s="3">
        <f t="shared" si="113"/>
        <v>78.767045686296782</v>
      </c>
      <c r="F100" s="3">
        <f t="shared" si="114"/>
        <v>92.042643838955286</v>
      </c>
      <c r="G100" s="3"/>
      <c r="H100" s="5" t="s">
        <v>2</v>
      </c>
      <c r="I100" s="6">
        <f t="shared" si="85"/>
        <v>-0.24216115728460375</v>
      </c>
      <c r="J100" s="6">
        <f t="shared" ref="J100" si="183">+AVERAGE(B97:B100)/AVERAGE(B85:B88)-1</f>
        <v>-5.1802355693341573E-2</v>
      </c>
      <c r="K100" s="6">
        <f t="shared" si="87"/>
        <v>-7.3305754839160242E-2</v>
      </c>
      <c r="L100" s="6">
        <f t="shared" ref="L100" si="184">+F100/F96-1</f>
        <v>-0.1049884255467104</v>
      </c>
    </row>
    <row r="101" spans="1:12" x14ac:dyDescent="0.2">
      <c r="A101" s="1">
        <v>38838</v>
      </c>
      <c r="B101" s="13">
        <v>228.33307735263199</v>
      </c>
      <c r="C101" s="2">
        <v>225.161894660906</v>
      </c>
      <c r="D101" s="2"/>
      <c r="E101" s="3">
        <f t="shared" si="113"/>
        <v>90.374258967090697</v>
      </c>
      <c r="F101" s="3">
        <f t="shared" si="114"/>
        <v>89.41751361393267</v>
      </c>
      <c r="G101" s="3"/>
      <c r="H101" s="5" t="s">
        <v>1</v>
      </c>
      <c r="I101" s="6">
        <f t="shared" si="85"/>
        <v>-0.17037456688041086</v>
      </c>
      <c r="J101" s="6">
        <f t="shared" ref="J101" si="185">+AVERAGE(B97:B101)/AVERAGE(B85:B89)-1</f>
        <v>-7.7549451908632494E-2</v>
      </c>
      <c r="K101" s="6">
        <f t="shared" si="87"/>
        <v>-2.8520804222179286E-2</v>
      </c>
      <c r="L101" s="6">
        <f t="shared" ref="L101" si="186">+F101/F96-1</f>
        <v>-0.13051487543827711</v>
      </c>
    </row>
    <row r="102" spans="1:12" x14ac:dyDescent="0.2">
      <c r="A102" s="1">
        <v>38869</v>
      </c>
      <c r="B102" s="13">
        <v>239.34144817292801</v>
      </c>
      <c r="C102" s="2">
        <v>238.462742936306</v>
      </c>
      <c r="D102" s="2"/>
      <c r="E102" s="3">
        <f t="shared" si="113"/>
        <v>94.731373437118805</v>
      </c>
      <c r="F102" s="3">
        <f t="shared" si="114"/>
        <v>94.6996186678698</v>
      </c>
      <c r="G102" s="3"/>
      <c r="H102" s="5" t="s">
        <v>3</v>
      </c>
      <c r="I102" s="6">
        <f t="shared" si="85"/>
        <v>-9.555595572408937E-2</v>
      </c>
      <c r="J102" s="6">
        <f t="shared" ref="J102" si="187">+AVERAGE(B97:B102)/AVERAGE(B85:B90)-1</f>
        <v>-8.0659562923563022E-2</v>
      </c>
      <c r="K102" s="6">
        <f t="shared" si="87"/>
        <v>5.9072376768862567E-2</v>
      </c>
      <c r="L102" s="6">
        <f t="shared" ref="L102" si="188">+F102/F96-1</f>
        <v>-7.9152322565245514E-2</v>
      </c>
    </row>
    <row r="103" spans="1:12" x14ac:dyDescent="0.2">
      <c r="A103" s="1">
        <v>38899</v>
      </c>
      <c r="B103" s="13">
        <v>250.15414573380301</v>
      </c>
      <c r="C103" s="2">
        <v>249.937038272519</v>
      </c>
      <c r="D103" s="2"/>
      <c r="E103" s="3">
        <f t="shared" si="113"/>
        <v>99.011040407972089</v>
      </c>
      <c r="F103" s="3">
        <f t="shared" si="114"/>
        <v>99.256353105467568</v>
      </c>
      <c r="G103" s="3"/>
      <c r="H103" s="5" t="s">
        <v>3</v>
      </c>
      <c r="I103" s="6">
        <f t="shared" si="85"/>
        <v>-4.0242219889395914E-2</v>
      </c>
      <c r="J103" s="6">
        <f t="shared" ref="J103" si="189">+AVERAGE(B97:B103)/AVERAGE(B85:B91)-1</f>
        <v>-7.4783403597417308E-2</v>
      </c>
      <c r="K103" s="6">
        <f t="shared" si="87"/>
        <v>4.8117769656276455E-2</v>
      </c>
      <c r="L103" s="6">
        <f t="shared" ref="L103" si="190">+F103/F96-1</f>
        <v>-3.484318613392301E-2</v>
      </c>
    </row>
    <row r="104" spans="1:12" x14ac:dyDescent="0.2">
      <c r="A104" s="1">
        <v>38930</v>
      </c>
      <c r="B104" s="13">
        <v>296.21606233410398</v>
      </c>
      <c r="C104" s="2">
        <v>273.71829172082897</v>
      </c>
      <c r="D104" s="2"/>
      <c r="E104" s="3">
        <f t="shared" si="113"/>
        <v>117.24235243521373</v>
      </c>
      <c r="F104" s="3">
        <f t="shared" si="114"/>
        <v>108.70049354127751</v>
      </c>
      <c r="G104" s="3"/>
      <c r="H104" s="5" t="s">
        <v>2</v>
      </c>
      <c r="I104" s="6">
        <f t="shared" si="85"/>
        <v>5.7475489519741796E-2</v>
      </c>
      <c r="J104" s="6">
        <f t="shared" ref="J104" si="191">+AVERAGE(B97:B104)/AVERAGE(B85:B92)-1</f>
        <v>-5.6910651121091727E-2</v>
      </c>
      <c r="K104" s="6">
        <f t="shared" si="87"/>
        <v>9.5148976769021676E-2</v>
      </c>
      <c r="L104" s="6">
        <f t="shared" ref="L104" si="192">+F104/F96-1</f>
        <v>5.6990497127083373E-2</v>
      </c>
    </row>
    <row r="105" spans="1:12" x14ac:dyDescent="0.2">
      <c r="A105" s="1">
        <v>38961</v>
      </c>
      <c r="B105" s="13">
        <v>280.09689186288301</v>
      </c>
      <c r="C105" s="2">
        <v>272.80689831304699</v>
      </c>
      <c r="D105" s="2"/>
      <c r="E105" s="3">
        <f t="shared" si="113"/>
        <v>110.8623828601047</v>
      </c>
      <c r="F105" s="3">
        <f t="shared" si="114"/>
        <v>108.33855604483422</v>
      </c>
      <c r="G105" s="3"/>
      <c r="H105" s="5" t="s">
        <v>4</v>
      </c>
      <c r="I105" s="6">
        <f t="shared" si="85"/>
        <v>1.8254735492480467E-2</v>
      </c>
      <c r="J105" s="6">
        <f t="shared" ref="J105" si="193">+AVERAGE(B97:B105)/AVERAGE(B85:B93)-1</f>
        <v>-4.8104583176581617E-2</v>
      </c>
      <c r="K105" s="6">
        <f t="shared" si="87"/>
        <v>-3.3296766615493745E-3</v>
      </c>
      <c r="L105" s="6">
        <f t="shared" ref="L105" si="194">+F105/F96-1</f>
        <v>5.347106053731987E-2</v>
      </c>
    </row>
    <row r="106" spans="1:12" x14ac:dyDescent="0.2">
      <c r="A106" s="1">
        <v>38991</v>
      </c>
      <c r="B106" s="13">
        <v>280.80431777417402</v>
      </c>
      <c r="C106" s="2">
        <v>269.70519711415199</v>
      </c>
      <c r="D106" s="2"/>
      <c r="E106" s="3">
        <f t="shared" si="113"/>
        <v>111.14238211929354</v>
      </c>
      <c r="F106" s="3">
        <f t="shared" si="114"/>
        <v>107.10679163107217</v>
      </c>
      <c r="G106" s="3"/>
      <c r="H106" s="5" t="s">
        <v>5</v>
      </c>
      <c r="I106" s="6">
        <f t="shared" si="85"/>
        <v>4.4898120905628058E-2</v>
      </c>
      <c r="J106" s="6">
        <f t="shared" ref="J106" si="195">+AVERAGE(B97:B106)/AVERAGE(B85:B94)-1</f>
        <v>-3.8553021095885764E-2</v>
      </c>
      <c r="K106" s="6">
        <f t="shared" si="87"/>
        <v>-1.136958492646245E-2</v>
      </c>
      <c r="L106" s="6">
        <f t="shared" ref="L106" si="196">+F106/F96-1</f>
        <v>4.1493531846970244E-2</v>
      </c>
    </row>
    <row r="107" spans="1:12" x14ac:dyDescent="0.2">
      <c r="A107" s="1">
        <v>39022</v>
      </c>
      <c r="B107" s="13">
        <v>281.73911128562901</v>
      </c>
      <c r="C107" s="2">
        <v>270.49212892357599</v>
      </c>
      <c r="D107" s="2"/>
      <c r="E107" s="3">
        <f t="shared" si="113"/>
        <v>111.51237350146424</v>
      </c>
      <c r="F107" s="3">
        <f t="shared" si="114"/>
        <v>107.41930226209335</v>
      </c>
      <c r="G107" s="3"/>
      <c r="H107" s="5" t="s">
        <v>6</v>
      </c>
      <c r="I107" s="6">
        <f t="shared" si="85"/>
        <v>3.2469056606140967E-2</v>
      </c>
      <c r="J107" s="6">
        <f t="shared" ref="J107" si="197">+AVERAGE(B97:B107)/AVERAGE(B85:B95)-1</f>
        <v>-3.184597100733344E-2</v>
      </c>
      <c r="K107" s="6">
        <f t="shared" si="87"/>
        <v>2.9177480369089182E-3</v>
      </c>
      <c r="L107" s="6">
        <f t="shared" ref="L107" si="198">+F107/F96-1</f>
        <v>4.4532347554970375E-2</v>
      </c>
    </row>
    <row r="108" spans="1:12" x14ac:dyDescent="0.2">
      <c r="A108" s="1">
        <v>39052</v>
      </c>
      <c r="B108" s="13">
        <v>239.40030680890601</v>
      </c>
      <c r="C108" s="2">
        <v>250.21922403498701</v>
      </c>
      <c r="D108" s="2"/>
      <c r="E108" s="3">
        <f t="shared" si="113"/>
        <v>94.754669692186184</v>
      </c>
      <c r="F108" s="3">
        <f t="shared" si="114"/>
        <v>99.368416246946907</v>
      </c>
      <c r="G108" s="3"/>
      <c r="H108" s="5" t="s">
        <v>7</v>
      </c>
      <c r="I108" s="6">
        <f t="shared" si="85"/>
        <v>-7.2217457255523643E-2</v>
      </c>
      <c r="J108" s="6">
        <f t="shared" ref="J108" si="199">+AVERAGE(B97:B108)/AVERAGE(B85:B96)-1</f>
        <v>-3.5155561197747431E-2</v>
      </c>
      <c r="K108" s="6">
        <f t="shared" si="87"/>
        <v>-7.4948224812548259E-2</v>
      </c>
      <c r="L108" s="6">
        <f t="shared" ref="L108" si="200">+F108/F96-1</f>
        <v>-3.3753497653558395E-2</v>
      </c>
    </row>
    <row r="109" spans="1:12" x14ac:dyDescent="0.2">
      <c r="A109" s="1">
        <v>39083</v>
      </c>
      <c r="B109" s="13">
        <v>268.58930110090301</v>
      </c>
      <c r="C109" s="2">
        <v>262.354577874548</v>
      </c>
      <c r="D109" s="2"/>
      <c r="E109" s="3">
        <f t="shared" si="113"/>
        <v>106.3076770782335</v>
      </c>
      <c r="F109" s="3">
        <f t="shared" si="114"/>
        <v>104.18767382511314</v>
      </c>
      <c r="G109" s="3"/>
      <c r="H109" s="5" t="s">
        <v>17</v>
      </c>
      <c r="I109" s="6">
        <f t="shared" si="85"/>
        <v>4.1999231299884254E-2</v>
      </c>
      <c r="J109" s="6">
        <f t="shared" ref="J109" si="201">+AVERAGE(B109:B109)/AVERAGE(B97:B97)-1</f>
        <v>4.1999231299884032E-2</v>
      </c>
      <c r="K109" s="6">
        <f t="shared" si="87"/>
        <v>4.849888687155457E-2</v>
      </c>
      <c r="L109" s="6">
        <f t="shared" ref="L109" si="202">+F109/F108-1</f>
        <v>4.849888687155457E-2</v>
      </c>
    </row>
    <row r="110" spans="1:12" x14ac:dyDescent="0.2">
      <c r="A110" s="1">
        <v>39114</v>
      </c>
      <c r="B110" s="13">
        <v>237.46838868025901</v>
      </c>
      <c r="C110" s="2">
        <v>263.90723785540098</v>
      </c>
      <c r="D110" s="2"/>
      <c r="E110" s="3">
        <f t="shared" si="113"/>
        <v>93.990016268836911</v>
      </c>
      <c r="F110" s="3">
        <f t="shared" si="114"/>
        <v>104.80427458335784</v>
      </c>
      <c r="G110" s="3"/>
      <c r="H110" s="5" t="s">
        <v>0</v>
      </c>
      <c r="I110" s="6">
        <f t="shared" si="85"/>
        <v>4.9038243583408914E-2</v>
      </c>
      <c r="J110" s="6">
        <f t="shared" ref="J110" si="203">+AVERAGE(B109:B110)/AVERAGE(B97:B98)-1</f>
        <v>4.5290498803161716E-2</v>
      </c>
      <c r="K110" s="6">
        <f t="shared" si="87"/>
        <v>5.9181737686140323E-3</v>
      </c>
      <c r="L110" s="6">
        <f t="shared" ref="L110" si="204">+F110/F108-1</f>
        <v>5.4704085480258957E-2</v>
      </c>
    </row>
    <row r="111" spans="1:12" x14ac:dyDescent="0.2">
      <c r="A111" s="1">
        <v>39142</v>
      </c>
      <c r="B111" s="13">
        <v>256.660346701614</v>
      </c>
      <c r="C111" s="2">
        <v>259.02729604873798</v>
      </c>
      <c r="D111" s="2"/>
      <c r="E111" s="3">
        <f t="shared" si="113"/>
        <v>101.5861955189804</v>
      </c>
      <c r="F111" s="3">
        <f t="shared" si="114"/>
        <v>102.86632560851183</v>
      </c>
      <c r="G111" s="3"/>
      <c r="H111" s="5" t="s">
        <v>1</v>
      </c>
      <c r="I111" s="6">
        <f t="shared" si="85"/>
        <v>-4.1005417833840374E-3</v>
      </c>
      <c r="J111" s="6">
        <f t="shared" ref="J111" si="205">+AVERAGE(B109:B111)/AVERAGE(B97:B99)-1</f>
        <v>2.8132115500281607E-2</v>
      </c>
      <c r="K111" s="6">
        <f t="shared" si="87"/>
        <v>-1.8491125314785029E-2</v>
      </c>
      <c r="L111" s="6">
        <f t="shared" ref="L111" si="206">+F111/F108-1</f>
        <v>3.5201420065627653E-2</v>
      </c>
    </row>
    <row r="112" spans="1:12" x14ac:dyDescent="0.2">
      <c r="A112" s="1">
        <v>39173</v>
      </c>
      <c r="B112" s="13">
        <v>237.05976886220299</v>
      </c>
      <c r="C112" s="2">
        <v>259.69419912692501</v>
      </c>
      <c r="D112" s="2"/>
      <c r="E112" s="3">
        <f t="shared" si="113"/>
        <v>93.828284496619574</v>
      </c>
      <c r="F112" s="3">
        <f t="shared" si="114"/>
        <v>103.13116977836023</v>
      </c>
      <c r="G112" s="3"/>
      <c r="H112" s="5" t="s">
        <v>2</v>
      </c>
      <c r="I112" s="6">
        <f t="shared" si="85"/>
        <v>0.19121243762660267</v>
      </c>
      <c r="J112" s="6">
        <f t="shared" ref="J112" si="207">+AVERAGE(B109:B112)/AVERAGE(B97:B100)-1</f>
        <v>6.2626413705411998E-2</v>
      </c>
      <c r="K112" s="6">
        <f t="shared" si="87"/>
        <v>2.5746440176772634E-3</v>
      </c>
      <c r="L112" s="6">
        <f t="shared" ref="L112" si="208">+F112/F108-1</f>
        <v>3.7866695208890633E-2</v>
      </c>
    </row>
    <row r="113" spans="1:12" x14ac:dyDescent="0.2">
      <c r="A113" s="1">
        <v>39203</v>
      </c>
      <c r="B113" s="13">
        <v>261.412551517157</v>
      </c>
      <c r="C113" s="2">
        <v>258.46797452328002</v>
      </c>
      <c r="D113" s="2"/>
      <c r="E113" s="3">
        <f t="shared" si="113"/>
        <v>103.46711874589099</v>
      </c>
      <c r="F113" s="3">
        <f t="shared" si="114"/>
        <v>102.6442048087534</v>
      </c>
      <c r="G113" s="3"/>
      <c r="H113" s="5" t="s">
        <v>1</v>
      </c>
      <c r="I113" s="6">
        <f t="shared" si="85"/>
        <v>0.14487377189524708</v>
      </c>
      <c r="J113" s="6">
        <f t="shared" ref="J113" si="209">+AVERAGE(B109:B113)/AVERAGE(B97:B101)-1</f>
        <v>7.8688659164796171E-2</v>
      </c>
      <c r="K113" s="6">
        <f t="shared" si="87"/>
        <v>-4.7218020570635177E-3</v>
      </c>
      <c r="L113" s="6">
        <f t="shared" ref="L113" si="210">+F113/F108-1</f>
        <v>3.2966094112495625E-2</v>
      </c>
    </row>
    <row r="114" spans="1:12" x14ac:dyDescent="0.2">
      <c r="A114" s="1">
        <v>39234</v>
      </c>
      <c r="B114" s="13">
        <v>263.19455124511899</v>
      </c>
      <c r="C114" s="2">
        <v>271.31843235442898</v>
      </c>
      <c r="D114" s="2"/>
      <c r="E114" s="3">
        <f t="shared" si="113"/>
        <v>104.17243444855376</v>
      </c>
      <c r="F114" s="3">
        <f t="shared" si="114"/>
        <v>107.74744836509542</v>
      </c>
      <c r="G114" s="3"/>
      <c r="H114" s="5" t="s">
        <v>3</v>
      </c>
      <c r="I114" s="6">
        <f t="shared" si="85"/>
        <v>9.9661396946828518E-2</v>
      </c>
      <c r="J114" s="6">
        <f t="shared" ref="J114" si="211">+AVERAGE(B109:B114)/AVERAGE(B97:B102)-1</f>
        <v>8.2252406957719515E-2</v>
      </c>
      <c r="K114" s="6">
        <f t="shared" si="87"/>
        <v>4.9717795231112971E-2</v>
      </c>
      <c r="L114" s="6">
        <f t="shared" ref="L114" si="212">+F114/F108-1</f>
        <v>8.4322890860263344E-2</v>
      </c>
    </row>
    <row r="115" spans="1:12" x14ac:dyDescent="0.2">
      <c r="A115" s="1">
        <v>39264</v>
      </c>
      <c r="B115" s="13">
        <v>284.23532954591502</v>
      </c>
      <c r="C115" s="2">
        <v>274.06544817018403</v>
      </c>
      <c r="D115" s="2"/>
      <c r="E115" s="3">
        <f t="shared" si="113"/>
        <v>112.50037698352247</v>
      </c>
      <c r="F115" s="3">
        <f t="shared" si="114"/>
        <v>108.83835819454453</v>
      </c>
      <c r="G115" s="3"/>
      <c r="H115" s="5" t="s">
        <v>3</v>
      </c>
      <c r="I115" s="6">
        <f t="shared" si="85"/>
        <v>0.13624073153830074</v>
      </c>
      <c r="J115" s="6">
        <f t="shared" ref="J115" si="213">+AVERAGE(B109:B115)/AVERAGE(B97:B103)-1</f>
        <v>9.0394646582741878E-2</v>
      </c>
      <c r="K115" s="6">
        <f t="shared" si="87"/>
        <v>1.0124692937067303E-2</v>
      </c>
      <c r="L115" s="6">
        <f t="shared" ref="L115" si="214">+F115/F108-1</f>
        <v>9.530132717485662E-2</v>
      </c>
    </row>
    <row r="116" spans="1:12" x14ac:dyDescent="0.2">
      <c r="A116" s="1">
        <v>39295</v>
      </c>
      <c r="B116" s="13">
        <v>299.83603582727301</v>
      </c>
      <c r="C116" s="2">
        <v>275.60417682149802</v>
      </c>
      <c r="D116" s="2"/>
      <c r="E116" s="3">
        <f t="shared" si="113"/>
        <v>118.67513837108763</v>
      </c>
      <c r="F116" s="3">
        <f t="shared" si="114"/>
        <v>109.44942646759412</v>
      </c>
      <c r="G116" s="3"/>
      <c r="H116" s="5" t="s">
        <v>2</v>
      </c>
      <c r="I116" s="6">
        <f t="shared" si="85"/>
        <v>1.222071978354089E-2</v>
      </c>
      <c r="J116" s="6">
        <f t="shared" ref="J116" si="215">+AVERAGE(B109:B116)/AVERAGE(B97:B104)-1</f>
        <v>7.8549349572031524E-2</v>
      </c>
      <c r="K116" s="6">
        <f t="shared" si="87"/>
        <v>5.6144569174529924E-3</v>
      </c>
      <c r="L116" s="6">
        <f t="shared" ref="L116" si="216">+F116/F108-1</f>
        <v>0.10145084928790893</v>
      </c>
    </row>
    <row r="117" spans="1:12" x14ac:dyDescent="0.2">
      <c r="A117" s="1">
        <v>39326</v>
      </c>
      <c r="B117" s="13">
        <v>249.13475998441001</v>
      </c>
      <c r="C117" s="2">
        <v>248.73703733684701</v>
      </c>
      <c r="D117" s="2"/>
      <c r="E117" s="3">
        <f t="shared" si="113"/>
        <v>98.607567408040822</v>
      </c>
      <c r="F117" s="3">
        <f t="shared" si="114"/>
        <v>98.779802221208143</v>
      </c>
      <c r="G117" s="3"/>
      <c r="H117" s="5" t="s">
        <v>4</v>
      </c>
      <c r="I117" s="6">
        <f t="shared" ref="I117:I180" si="217">+E117/E105-1</f>
        <v>-0.1105407906262309</v>
      </c>
      <c r="J117" s="6">
        <f t="shared" ref="J117" si="218">+AVERAGE(B109:B117)/AVERAGE(B97:B105)-1</f>
        <v>5.4851975562919986E-2</v>
      </c>
      <c r="K117" s="6">
        <f t="shared" ref="K117:K180" si="219">+F117/F116-1</f>
        <v>-9.7484514910135656E-2</v>
      </c>
      <c r="L117" s="6">
        <f t="shared" ref="L117" si="220">+F117/F108-1</f>
        <v>-5.9235524522798233E-3</v>
      </c>
    </row>
    <row r="118" spans="1:12" x14ac:dyDescent="0.2">
      <c r="A118" s="1">
        <v>39356</v>
      </c>
      <c r="B118" s="13">
        <v>290.90207786981802</v>
      </c>
      <c r="C118" s="2">
        <v>271.99931927371102</v>
      </c>
      <c r="D118" s="2"/>
      <c r="E118" s="3">
        <f t="shared" si="113"/>
        <v>115.13907675702193</v>
      </c>
      <c r="F118" s="3">
        <f t="shared" si="114"/>
        <v>108.01784587381304</v>
      </c>
      <c r="G118" s="3"/>
      <c r="H118" s="5" t="s">
        <v>5</v>
      </c>
      <c r="I118" s="6">
        <f t="shared" si="217"/>
        <v>3.5960131153555563E-2</v>
      </c>
      <c r="J118" s="6">
        <f t="shared" ref="J118" si="221">+AVERAGE(B109:B118)/AVERAGE(B97:B106)-1</f>
        <v>5.2743338693169717E-2</v>
      </c>
      <c r="K118" s="6">
        <f t="shared" si="219"/>
        <v>9.3521584826796511E-2</v>
      </c>
      <c r="L118" s="6">
        <f t="shared" ref="L118" si="222">+F118/F108-1</f>
        <v>8.7044052361374913E-2</v>
      </c>
    </row>
    <row r="119" spans="1:12" x14ac:dyDescent="0.2">
      <c r="A119" s="1">
        <v>39387</v>
      </c>
      <c r="B119" s="13">
        <v>304.06831241400801</v>
      </c>
      <c r="C119" s="2">
        <v>294.33216759144602</v>
      </c>
      <c r="D119" s="2"/>
      <c r="E119" s="3">
        <f t="shared" si="113"/>
        <v>120.35027394366715</v>
      </c>
      <c r="F119" s="3">
        <f t="shared" si="114"/>
        <v>116.88678780333611</v>
      </c>
      <c r="G119" s="3"/>
      <c r="H119" s="5" t="s">
        <v>6</v>
      </c>
      <c r="I119" s="6">
        <f t="shared" si="217"/>
        <v>7.9254885935029051E-2</v>
      </c>
      <c r="J119" s="6">
        <f t="shared" ref="J119" si="223">+AVERAGE(B109:B119)/AVERAGE(B97:B107)-1</f>
        <v>5.5413305353357867E-2</v>
      </c>
      <c r="K119" s="6">
        <f t="shared" si="219"/>
        <v>8.2106265476574958E-2</v>
      </c>
      <c r="L119" s="6">
        <f t="shared" ref="L119" si="224">+F119/F108-1</f>
        <v>0.17629717990928984</v>
      </c>
    </row>
    <row r="120" spans="1:12" x14ac:dyDescent="0.2">
      <c r="A120" s="1">
        <v>39417</v>
      </c>
      <c r="B120" s="13">
        <v>271.13814232905798</v>
      </c>
      <c r="C120" s="2">
        <v>283.37904408406399</v>
      </c>
      <c r="D120" s="2"/>
      <c r="E120" s="3">
        <f t="shared" si="113"/>
        <v>107.3165087371855</v>
      </c>
      <c r="F120" s="3">
        <f t="shared" si="114"/>
        <v>112.53702395092495</v>
      </c>
      <c r="G120" s="3"/>
      <c r="H120" s="5" t="s">
        <v>7</v>
      </c>
      <c r="I120" s="6">
        <f t="shared" si="217"/>
        <v>0.13257224246368948</v>
      </c>
      <c r="J120" s="6">
        <f t="shared" ref="J120" si="225">+AVERAGE(B109:B120)/AVERAGE(B97:B108)-1</f>
        <v>6.1495700314478707E-2</v>
      </c>
      <c r="K120" s="6">
        <f t="shared" si="219"/>
        <v>-3.7213477538023398E-2</v>
      </c>
      <c r="L120" s="6">
        <f t="shared" ref="L120" si="226">+F120/F108-1</f>
        <v>0.13252307122669515</v>
      </c>
    </row>
    <row r="121" spans="1:12" x14ac:dyDescent="0.2">
      <c r="A121" s="1">
        <v>39448</v>
      </c>
      <c r="B121" s="13">
        <v>285.51647668699798</v>
      </c>
      <c r="C121" s="2">
        <v>278.85455825870298</v>
      </c>
      <c r="D121" s="2"/>
      <c r="E121" s="3">
        <f t="shared" si="113"/>
        <v>113.00745517318119</v>
      </c>
      <c r="F121" s="3">
        <f t="shared" si="114"/>
        <v>110.74023558451623</v>
      </c>
      <c r="G121" s="3"/>
      <c r="H121" s="5" t="s">
        <v>18</v>
      </c>
      <c r="I121" s="6">
        <f t="shared" si="217"/>
        <v>6.3022523669830743E-2</v>
      </c>
      <c r="J121" s="6">
        <f t="shared" ref="J121" si="227">+AVERAGE(B121:B121)/AVERAGE(B109:B109)-1</f>
        <v>6.3022523669830743E-2</v>
      </c>
      <c r="K121" s="6">
        <f t="shared" si="219"/>
        <v>-1.5966197641695823E-2</v>
      </c>
      <c r="L121" s="6">
        <f t="shared" ref="L121" si="228">+F121/F120-1</f>
        <v>-1.5966197641695823E-2</v>
      </c>
    </row>
    <row r="122" spans="1:12" x14ac:dyDescent="0.2">
      <c r="A122" s="1">
        <v>39479</v>
      </c>
      <c r="B122" s="13">
        <v>261.76712967597098</v>
      </c>
      <c r="C122" s="2">
        <v>283.28508466759098</v>
      </c>
      <c r="D122" s="2"/>
      <c r="E122" s="3">
        <f t="shared" si="113"/>
        <v>103.6074608230016</v>
      </c>
      <c r="F122" s="3">
        <f t="shared" si="114"/>
        <v>112.49971027751549</v>
      </c>
      <c r="G122" s="3"/>
      <c r="H122" s="5" t="s">
        <v>0</v>
      </c>
      <c r="I122" s="6">
        <f t="shared" si="217"/>
        <v>0.10232410777178913</v>
      </c>
      <c r="J122" s="6">
        <f t="shared" ref="J122" si="229">+AVERAGE(B121:B122)/AVERAGE(B109:B110)-1</f>
        <v>8.1464855518023072E-2</v>
      </c>
      <c r="K122" s="6">
        <f t="shared" si="219"/>
        <v>1.5888305489980992E-2</v>
      </c>
      <c r="L122" s="6">
        <f t="shared" ref="L122" si="230">+F122/F120-1</f>
        <v>-3.3156797735944821E-4</v>
      </c>
    </row>
    <row r="123" spans="1:12" x14ac:dyDescent="0.2">
      <c r="A123" s="1">
        <v>39508</v>
      </c>
      <c r="B123" s="13">
        <v>152.36241742600799</v>
      </c>
      <c r="C123" s="2">
        <v>170.72146305571701</v>
      </c>
      <c r="D123" s="2"/>
      <c r="E123" s="3">
        <f t="shared" si="113"/>
        <v>60.305062801061126</v>
      </c>
      <c r="F123" s="3">
        <f t="shared" si="114"/>
        <v>67.797833953941975</v>
      </c>
      <c r="G123" s="3"/>
      <c r="H123" s="5" t="s">
        <v>1</v>
      </c>
      <c r="I123" s="6">
        <f t="shared" si="217"/>
        <v>-0.4063655746435183</v>
      </c>
      <c r="J123" s="6">
        <f t="shared" ref="J123" si="231">+AVERAGE(B121:B123)/AVERAGE(B109:B111)-1</f>
        <v>-8.2693747462236011E-2</v>
      </c>
      <c r="K123" s="6">
        <f t="shared" si="219"/>
        <v>-0.39735103506757885</v>
      </c>
      <c r="L123" s="6">
        <f t="shared" ref="L123" si="232">+F123/F120-1</f>
        <v>-0.39755085416593916</v>
      </c>
    </row>
    <row r="124" spans="1:12" x14ac:dyDescent="0.2">
      <c r="A124" s="1">
        <v>39539</v>
      </c>
      <c r="B124" s="13">
        <v>294.88852670782205</v>
      </c>
      <c r="C124" s="2">
        <v>300.33642300950697</v>
      </c>
      <c r="D124" s="2"/>
      <c r="E124" s="3">
        <f t="shared" si="113"/>
        <v>116.71691367763786</v>
      </c>
      <c r="F124" s="3">
        <f t="shared" si="114"/>
        <v>119.27123030145306</v>
      </c>
      <c r="G124" s="3"/>
      <c r="H124" s="5" t="s">
        <v>2</v>
      </c>
      <c r="I124" s="6">
        <f t="shared" si="217"/>
        <v>0.24394167818173118</v>
      </c>
      <c r="J124" s="6">
        <f t="shared" ref="J124" si="233">+AVERAGE(B121:B124)/AVERAGE(B109:B112)-1</f>
        <v>-5.2444201303016857E-3</v>
      </c>
      <c r="K124" s="6">
        <f t="shared" si="219"/>
        <v>0.7592188916017466</v>
      </c>
      <c r="L124" s="6">
        <f t="shared" ref="L124" si="234">+F124/F120-1</f>
        <v>5.9839918580615326E-2</v>
      </c>
    </row>
    <row r="125" spans="1:12" x14ac:dyDescent="0.2">
      <c r="A125" s="1">
        <v>39569</v>
      </c>
      <c r="B125" s="13">
        <v>231.998488301164</v>
      </c>
      <c r="C125" s="2">
        <v>237.21758113817199</v>
      </c>
      <c r="D125" s="2"/>
      <c r="E125" s="3">
        <f t="shared" si="113"/>
        <v>91.825029053160421</v>
      </c>
      <c r="F125" s="3">
        <f t="shared" si="114"/>
        <v>94.20513325681091</v>
      </c>
      <c r="G125" s="3"/>
      <c r="H125" s="5" t="s">
        <v>1</v>
      </c>
      <c r="I125" s="6">
        <f t="shared" si="217"/>
        <v>-0.11251970513765674</v>
      </c>
      <c r="J125" s="6">
        <f t="shared" ref="J125" si="235">+AVERAGE(B121:B125)/AVERAGE(B109:B113)-1</f>
        <v>-2.747984701564099E-2</v>
      </c>
      <c r="K125" s="6">
        <f t="shared" si="219"/>
        <v>-0.21016046351906181</v>
      </c>
      <c r="L125" s="6">
        <f t="shared" ref="L125" si="236">+F125/F120-1</f>
        <v>-0.16289652996429149</v>
      </c>
    </row>
    <row r="126" spans="1:12" x14ac:dyDescent="0.2">
      <c r="A126" s="1">
        <v>39600</v>
      </c>
      <c r="B126" s="13">
        <v>218.202363106002</v>
      </c>
      <c r="C126" s="2">
        <v>226.22236086685999</v>
      </c>
      <c r="D126" s="2"/>
      <c r="E126" s="3">
        <f t="shared" si="113"/>
        <v>86.364521072512375</v>
      </c>
      <c r="F126" s="3">
        <f t="shared" si="114"/>
        <v>89.838651709038913</v>
      </c>
      <c r="G126" s="3"/>
      <c r="H126" s="5" t="s">
        <v>3</v>
      </c>
      <c r="I126" s="6">
        <f t="shared" si="217"/>
        <v>-0.17094650298141911</v>
      </c>
      <c r="J126" s="6">
        <f t="shared" ref="J126" si="237">+AVERAGE(B121:B126)/AVERAGE(B109:B114)-1</f>
        <v>-5.2250258959980478E-2</v>
      </c>
      <c r="K126" s="6">
        <f t="shared" si="219"/>
        <v>-4.6350781500076099E-2</v>
      </c>
      <c r="L126" s="6">
        <f t="shared" ref="L126" si="238">+F126/F120-1</f>
        <v>-0.20169692999687217</v>
      </c>
    </row>
    <row r="127" spans="1:12" x14ac:dyDescent="0.2">
      <c r="A127" s="1">
        <v>39630</v>
      </c>
      <c r="B127" s="13">
        <v>300.900775508327</v>
      </c>
      <c r="C127" s="2">
        <v>280.99525207772001</v>
      </c>
      <c r="D127" s="2"/>
      <c r="E127" s="3">
        <f t="shared" si="113"/>
        <v>119.09656246252361</v>
      </c>
      <c r="F127" s="3">
        <f t="shared" si="114"/>
        <v>111.59035953196963</v>
      </c>
      <c r="G127" s="3"/>
      <c r="H127" s="5" t="s">
        <v>3</v>
      </c>
      <c r="I127" s="6">
        <f t="shared" si="217"/>
        <v>5.863256333769673E-2</v>
      </c>
      <c r="J127" s="6">
        <f t="shared" ref="J127" si="239">+AVERAGE(B121:B127)/AVERAGE(B109:B115)-1</f>
        <v>-3.4824369942141553E-2</v>
      </c>
      <c r="K127" s="6">
        <f t="shared" si="219"/>
        <v>0.24211970470547706</v>
      </c>
      <c r="L127" s="6">
        <f t="shared" ref="L127" si="240">+F127/F120-1</f>
        <v>-8.4120264222390384E-3</v>
      </c>
    </row>
    <row r="128" spans="1:12" x14ac:dyDescent="0.2">
      <c r="A128" s="1">
        <v>39661</v>
      </c>
      <c r="B128" s="13">
        <v>284.50059893523297</v>
      </c>
      <c r="C128" s="2">
        <v>277.29582790722299</v>
      </c>
      <c r="D128" s="2"/>
      <c r="E128" s="3">
        <f t="shared" si="113"/>
        <v>112.60537063912513</v>
      </c>
      <c r="F128" s="3">
        <f t="shared" si="114"/>
        <v>110.12122412774279</v>
      </c>
      <c r="G128" s="3"/>
      <c r="H128" s="5" t="s">
        <v>2</v>
      </c>
      <c r="I128" s="6">
        <f t="shared" si="217"/>
        <v>-5.1146076720659295E-2</v>
      </c>
      <c r="J128" s="6">
        <f t="shared" ref="J128" si="241">+AVERAGE(B121:B128)/AVERAGE(B109:B116)-1</f>
        <v>-3.714542156647882E-2</v>
      </c>
      <c r="K128" s="6">
        <f t="shared" si="219"/>
        <v>-1.3165433021173678E-2</v>
      </c>
      <c r="L128" s="6">
        <f t="shared" ref="L128" si="242">+F128/F120-1</f>
        <v>-2.1466711472978295E-2</v>
      </c>
    </row>
    <row r="129" spans="1:12" x14ac:dyDescent="0.2">
      <c r="A129" s="1">
        <v>39692</v>
      </c>
      <c r="B129" s="13">
        <v>295.69445852199499</v>
      </c>
      <c r="C129" s="2">
        <v>278.47523991003698</v>
      </c>
      <c r="D129" s="2"/>
      <c r="E129" s="3">
        <f t="shared" si="113"/>
        <v>117.03590158481434</v>
      </c>
      <c r="F129" s="3">
        <f t="shared" si="114"/>
        <v>110.58959862324468</v>
      </c>
      <c r="G129" s="3"/>
      <c r="H129" s="5" t="s">
        <v>4</v>
      </c>
      <c r="I129" s="6">
        <f t="shared" si="217"/>
        <v>0.18688559774034963</v>
      </c>
      <c r="J129" s="6">
        <f t="shared" ref="J129" si="243">+AVERAGE(B121:B129)/AVERAGE(B109:B117)-1</f>
        <v>-1.3471292579806282E-2</v>
      </c>
      <c r="K129" s="6">
        <f t="shared" si="219"/>
        <v>4.2532627040048343E-3</v>
      </c>
      <c r="L129" s="6">
        <f t="shared" ref="L129" si="244">+F129/F120-1</f>
        <v>-1.7304752332259032E-2</v>
      </c>
    </row>
    <row r="130" spans="1:12" x14ac:dyDescent="0.2">
      <c r="A130" s="1">
        <v>39722</v>
      </c>
      <c r="B130" s="13">
        <v>282.57088953826297</v>
      </c>
      <c r="C130" s="2">
        <v>264.51017380805303</v>
      </c>
      <c r="D130" s="2"/>
      <c r="E130" s="3">
        <f t="shared" ref="E130:E193" si="245">+B130/AVERAGE(B$73:B$84)*100</f>
        <v>111.84159143203433</v>
      </c>
      <c r="F130" s="3">
        <f t="shared" ref="F130:F193" si="246">+C130/AVERAGE(C$73:C$84)*100</f>
        <v>105.04371578114926</v>
      </c>
      <c r="G130" s="3"/>
      <c r="H130" s="5" t="s">
        <v>5</v>
      </c>
      <c r="I130" s="6">
        <f t="shared" si="217"/>
        <v>-2.8639150302952943E-2</v>
      </c>
      <c r="J130" s="6">
        <f t="shared" ref="J130" si="247">+AVERAGE(B121:B130)/AVERAGE(B109:B118)-1</f>
        <v>-1.5137281934135216E-2</v>
      </c>
      <c r="K130" s="6">
        <f t="shared" si="219"/>
        <v>-5.0148322366094011E-2</v>
      </c>
      <c r="L130" s="6">
        <f t="shared" ref="L130" si="248">+F130/F120-1</f>
        <v>-6.6585270399929564E-2</v>
      </c>
    </row>
    <row r="131" spans="1:12" x14ac:dyDescent="0.2">
      <c r="A131" s="1">
        <v>39753</v>
      </c>
      <c r="B131" s="13">
        <v>251.61689669227101</v>
      </c>
      <c r="C131" s="2">
        <v>260.89841958168</v>
      </c>
      <c r="D131" s="2"/>
      <c r="E131" s="3">
        <f t="shared" si="245"/>
        <v>99.58999740998712</v>
      </c>
      <c r="F131" s="3">
        <f t="shared" si="246"/>
        <v>103.60939634093822</v>
      </c>
      <c r="G131" s="3"/>
      <c r="H131" s="5" t="s">
        <v>6</v>
      </c>
      <c r="I131" s="6">
        <f t="shared" si="217"/>
        <v>-0.1724987891876123</v>
      </c>
      <c r="J131" s="6">
        <f t="shared" ref="J131" si="249">+AVERAGE(B121:B131)/AVERAGE(B109:B119)-1</f>
        <v>-3.134309142708025E-2</v>
      </c>
      <c r="K131" s="6">
        <f t="shared" si="219"/>
        <v>-1.3654500219692722E-2</v>
      </c>
      <c r="L131" s="6">
        <f t="shared" ref="L131" si="250">+F131/F120-1</f>
        <v>-7.9330582030318175E-2</v>
      </c>
    </row>
    <row r="132" spans="1:12" x14ac:dyDescent="0.2">
      <c r="A132" s="1">
        <v>39783</v>
      </c>
      <c r="B132" s="13">
        <v>271.88484376298697</v>
      </c>
      <c r="C132" s="2">
        <v>267.09808630345401</v>
      </c>
      <c r="D132" s="2"/>
      <c r="E132" s="3">
        <f t="shared" si="245"/>
        <v>107.61205325287027</v>
      </c>
      <c r="F132" s="3">
        <f t="shared" si="246"/>
        <v>106.07144163652846</v>
      </c>
      <c r="G132" s="3"/>
      <c r="H132" s="5" t="s">
        <v>7</v>
      </c>
      <c r="I132" s="6">
        <f t="shared" si="217"/>
        <v>2.7539520169124199E-3</v>
      </c>
      <c r="J132" s="6">
        <f t="shared" ref="J132" si="251">+AVERAGE(B121:B132)/AVERAGE(B109:B120)-1</f>
        <v>-2.8475265555339302E-2</v>
      </c>
      <c r="K132" s="6">
        <f t="shared" si="219"/>
        <v>2.3762760739273192E-2</v>
      </c>
      <c r="L132" s="6">
        <f t="shared" ref="L132" si="252">+F132/F120-1</f>
        <v>-5.7452934931138677E-2</v>
      </c>
    </row>
    <row r="133" spans="1:12" x14ac:dyDescent="0.2">
      <c r="A133" s="1">
        <v>39814</v>
      </c>
      <c r="B133" s="13">
        <v>278.68893173011799</v>
      </c>
      <c r="C133" s="2">
        <v>280.45322450033899</v>
      </c>
      <c r="D133" s="2"/>
      <c r="E133" s="3">
        <f t="shared" si="245"/>
        <v>110.30511207337005</v>
      </c>
      <c r="F133" s="3">
        <f t="shared" si="246"/>
        <v>111.3751065987298</v>
      </c>
      <c r="G133" s="3"/>
      <c r="H133" s="5" t="s">
        <v>19</v>
      </c>
      <c r="I133" s="6">
        <f t="shared" si="217"/>
        <v>-2.3912963048940972E-2</v>
      </c>
      <c r="J133" s="6">
        <f t="shared" ref="J133" si="253">+AVERAGE(B133:B133)/AVERAGE(B121:B121)-1</f>
        <v>-2.3912963048940972E-2</v>
      </c>
      <c r="K133" s="6">
        <f t="shared" si="219"/>
        <v>5.0000875639790276E-2</v>
      </c>
      <c r="L133" s="6">
        <f t="shared" ref="L133" si="254">+F133/F132-1</f>
        <v>5.0000875639790276E-2</v>
      </c>
    </row>
    <row r="134" spans="1:12" x14ac:dyDescent="0.2">
      <c r="A134" s="1">
        <v>39845</v>
      </c>
      <c r="B134" s="13">
        <v>251.68980056100401</v>
      </c>
      <c r="C134" s="2">
        <v>278.95115327152303</v>
      </c>
      <c r="D134" s="2"/>
      <c r="E134" s="3">
        <f t="shared" si="245"/>
        <v>99.618852769836735</v>
      </c>
      <c r="F134" s="3">
        <f t="shared" si="246"/>
        <v>110.77859592025101</v>
      </c>
      <c r="G134" s="3"/>
      <c r="H134" s="5" t="s">
        <v>0</v>
      </c>
      <c r="I134" s="6">
        <f t="shared" si="217"/>
        <v>-3.8497305324167952E-2</v>
      </c>
      <c r="J134" s="6">
        <f t="shared" ref="J134" si="255">+AVERAGE(B133:B134)/AVERAGE(B121:B122)-1</f>
        <v>-3.0888690754305781E-2</v>
      </c>
      <c r="K134" s="6">
        <f t="shared" si="219"/>
        <v>-5.3558707748576628E-3</v>
      </c>
      <c r="L134" s="6">
        <f t="shared" ref="L134" si="256">+F134/F132-1</f>
        <v>4.4377206636376343E-2</v>
      </c>
    </row>
    <row r="135" spans="1:12" x14ac:dyDescent="0.2">
      <c r="A135" s="1">
        <v>39873</v>
      </c>
      <c r="B135" s="13">
        <v>261.53696937341999</v>
      </c>
      <c r="C135" s="2">
        <v>265.31766503876901</v>
      </c>
      <c r="D135" s="2"/>
      <c r="E135" s="3">
        <f t="shared" si="245"/>
        <v>103.51636334808533</v>
      </c>
      <c r="F135" s="3">
        <f t="shared" si="246"/>
        <v>105.36439108113471</v>
      </c>
      <c r="G135" s="3"/>
      <c r="H135" s="5" t="s">
        <v>1</v>
      </c>
      <c r="I135" s="6">
        <f t="shared" si="217"/>
        <v>0.71654515458466395</v>
      </c>
      <c r="J135" s="6">
        <f t="shared" ref="J135" si="257">+AVERAGE(B133:B135)/AVERAGE(B121:B123)-1</f>
        <v>0.13188051491506059</v>
      </c>
      <c r="K135" s="6">
        <f t="shared" si="219"/>
        <v>-4.8874105996197681E-2</v>
      </c>
      <c r="L135" s="6">
        <f t="shared" ref="L135" si="258">+F135/F132-1</f>
        <v>-6.6657956607828472E-3</v>
      </c>
    </row>
    <row r="136" spans="1:12" x14ac:dyDescent="0.2">
      <c r="A136" s="1">
        <v>39904</v>
      </c>
      <c r="B136" s="13">
        <v>284.29114784602001</v>
      </c>
      <c r="C136" s="2">
        <v>294.24896464086697</v>
      </c>
      <c r="D136" s="2"/>
      <c r="E136" s="3">
        <f t="shared" si="245"/>
        <v>112.52246987329242</v>
      </c>
      <c r="F136" s="3">
        <f t="shared" si="246"/>
        <v>116.85374579604031</v>
      </c>
      <c r="G136" s="3"/>
      <c r="H136" s="5" t="s">
        <v>2</v>
      </c>
      <c r="I136" s="6">
        <f t="shared" si="217"/>
        <v>-3.5936897851241434E-2</v>
      </c>
      <c r="J136" s="6">
        <f t="shared" ref="J136" si="259">+AVERAGE(B133:B136)/AVERAGE(B121:B124)-1</f>
        <v>8.2121127891399359E-2</v>
      </c>
      <c r="K136" s="6">
        <f t="shared" si="219"/>
        <v>0.10904400051112484</v>
      </c>
      <c r="L136" s="6">
        <f t="shared" ref="L136" si="260">+F136/F132-1</f>
        <v>0.10165133982490038</v>
      </c>
    </row>
    <row r="137" spans="1:12" x14ac:dyDescent="0.2">
      <c r="A137" s="1">
        <v>39934</v>
      </c>
      <c r="B137" s="13">
        <v>260.87072250937098</v>
      </c>
      <c r="C137" s="2">
        <v>272.67642428545503</v>
      </c>
      <c r="D137" s="2"/>
      <c r="E137" s="3">
        <f t="shared" si="245"/>
        <v>103.25266276065538</v>
      </c>
      <c r="F137" s="3">
        <f t="shared" si="246"/>
        <v>108.28674149088388</v>
      </c>
      <c r="G137" s="3"/>
      <c r="H137" s="5" t="s">
        <v>1</v>
      </c>
      <c r="I137" s="6">
        <f t="shared" si="217"/>
        <v>0.12445009628996839</v>
      </c>
      <c r="J137" s="6">
        <f t="shared" ref="J137" si="261">+AVERAGE(B133:B137)/AVERAGE(B121:B125)-1</f>
        <v>9.0127644119808448E-2</v>
      </c>
      <c r="K137" s="6">
        <f t="shared" si="219"/>
        <v>-7.3313904032734301E-2</v>
      </c>
      <c r="L137" s="6">
        <f t="shared" ref="L137" si="262">+F137/F132-1</f>
        <v>2.0884979219444544E-2</v>
      </c>
    </row>
    <row r="138" spans="1:12" x14ac:dyDescent="0.2">
      <c r="A138" s="1">
        <v>39965</v>
      </c>
      <c r="B138" s="13">
        <v>300.77831568826701</v>
      </c>
      <c r="C138" s="2">
        <v>300.66399854085898</v>
      </c>
      <c r="D138" s="2"/>
      <c r="E138" s="3">
        <f t="shared" si="245"/>
        <v>119.04809285128952</v>
      </c>
      <c r="F138" s="3">
        <f t="shared" si="246"/>
        <v>119.40131887429249</v>
      </c>
      <c r="G138" s="3"/>
      <c r="H138" s="5" t="s">
        <v>3</v>
      </c>
      <c r="I138" s="6">
        <f t="shared" si="217"/>
        <v>0.37843748072586147</v>
      </c>
      <c r="J138" s="6">
        <f t="shared" ref="J138" si="263">+AVERAGE(B133:B138)/AVERAGE(B121:B126)-1</f>
        <v>0.1336718720602601</v>
      </c>
      <c r="K138" s="6">
        <f t="shared" si="219"/>
        <v>0.10264024228990465</v>
      </c>
      <c r="L138" s="6">
        <f t="shared" ref="L138" si="264">+F138/F132-1</f>
        <v>0.12566886083665274</v>
      </c>
    </row>
    <row r="139" spans="1:12" x14ac:dyDescent="0.2">
      <c r="A139" s="1">
        <v>39995</v>
      </c>
      <c r="B139" s="13">
        <v>311.26013527414801</v>
      </c>
      <c r="C139" s="2">
        <v>290.62884079390602</v>
      </c>
      <c r="D139" s="2"/>
      <c r="E139" s="3">
        <f t="shared" si="245"/>
        <v>123.19679828058554</v>
      </c>
      <c r="F139" s="3">
        <f t="shared" si="246"/>
        <v>115.41610256667749</v>
      </c>
      <c r="G139" s="3"/>
      <c r="H139" s="5" t="s">
        <v>3</v>
      </c>
      <c r="I139" s="6">
        <f t="shared" si="217"/>
        <v>3.4427826742288836E-2</v>
      </c>
      <c r="J139" s="6">
        <f t="shared" ref="J139" si="265">+AVERAGE(B133:B139)/AVERAGE(B121:B127)-1</f>
        <v>0.116564865120802</v>
      </c>
      <c r="K139" s="6">
        <f t="shared" si="219"/>
        <v>-3.3376652328360734E-2</v>
      </c>
      <c r="L139" s="6">
        <f t="shared" ref="L139" si="266">+F139/F132-1</f>
        <v>8.8097802631645905E-2</v>
      </c>
    </row>
    <row r="140" spans="1:12" x14ac:dyDescent="0.2">
      <c r="A140" s="1">
        <v>40026</v>
      </c>
      <c r="B140" s="13">
        <v>294.77603458187201</v>
      </c>
      <c r="C140" s="2">
        <v>289.19664615797501</v>
      </c>
      <c r="D140" s="2"/>
      <c r="E140" s="3">
        <f t="shared" si="245"/>
        <v>116.67238928090899</v>
      </c>
      <c r="F140" s="3">
        <f t="shared" si="246"/>
        <v>114.84734166000177</v>
      </c>
      <c r="G140" s="3"/>
      <c r="H140" s="5" t="s">
        <v>2</v>
      </c>
      <c r="I140" s="6">
        <f t="shared" si="217"/>
        <v>3.6117448206069547E-2</v>
      </c>
      <c r="J140" s="6">
        <f t="shared" ref="J140" si="267">+AVERAGE(B133:B140)/AVERAGE(B121:B128)-1</f>
        <v>0.10529107383654623</v>
      </c>
      <c r="K140" s="6">
        <f t="shared" si="219"/>
        <v>-4.9279164174439449E-3</v>
      </c>
      <c r="L140" s="6">
        <f t="shared" ref="L140" si="268">+F140/F132-1</f>
        <v>8.2735747606272669E-2</v>
      </c>
    </row>
    <row r="141" spans="1:12" x14ac:dyDescent="0.2">
      <c r="A141" s="1">
        <v>40057</v>
      </c>
      <c r="B141" s="13">
        <v>282.787593104584</v>
      </c>
      <c r="C141" s="2">
        <v>266.14817524241499</v>
      </c>
      <c r="D141" s="2"/>
      <c r="E141" s="3">
        <f t="shared" si="245"/>
        <v>111.92736272916247</v>
      </c>
      <c r="F141" s="3">
        <f t="shared" si="246"/>
        <v>105.69420780057945</v>
      </c>
      <c r="G141" s="3"/>
      <c r="H141" s="5" t="s">
        <v>4</v>
      </c>
      <c r="I141" s="6">
        <f t="shared" si="217"/>
        <v>-4.3649331414342019E-2</v>
      </c>
      <c r="J141" s="6">
        <f t="shared" ref="J141" si="269">+AVERAGE(B133:B141)/AVERAGE(B121:B129)-1</f>
        <v>8.6355541532037394E-2</v>
      </c>
      <c r="K141" s="6">
        <f t="shared" si="219"/>
        <v>-7.9698264906466809E-2</v>
      </c>
      <c r="L141" s="6">
        <f t="shared" ref="L141" si="270">+F141/F132-1</f>
        <v>-3.5564128301533993E-3</v>
      </c>
    </row>
    <row r="142" spans="1:12" x14ac:dyDescent="0.2">
      <c r="A142" s="1">
        <v>40087</v>
      </c>
      <c r="B142" s="13">
        <v>302.70673380332198</v>
      </c>
      <c r="C142" s="2">
        <v>294.21732606916402</v>
      </c>
      <c r="D142" s="2"/>
      <c r="E142" s="3">
        <f t="shared" si="245"/>
        <v>119.81136096884593</v>
      </c>
      <c r="F142" s="3">
        <f t="shared" si="246"/>
        <v>116.84118131473571</v>
      </c>
      <c r="G142" s="3"/>
      <c r="H142" s="5" t="s">
        <v>5</v>
      </c>
      <c r="I142" s="6">
        <f t="shared" si="217"/>
        <v>7.1259443242586373E-2</v>
      </c>
      <c r="J142" s="6">
        <f t="shared" ref="J142" si="271">+AVERAGE(B133:B142)/AVERAGE(B121:B130)-1</f>
        <v>8.4720165651036572E-2</v>
      </c>
      <c r="K142" s="6">
        <f t="shared" si="219"/>
        <v>0.1054643745018462</v>
      </c>
      <c r="L142" s="6">
        <f t="shared" ref="L142" si="272">+F142/F132-1</f>
        <v>0.10153288681709038</v>
      </c>
    </row>
    <row r="143" spans="1:12" x14ac:dyDescent="0.2">
      <c r="A143" s="1">
        <v>40118</v>
      </c>
      <c r="B143" s="13">
        <v>276.82721433308302</v>
      </c>
      <c r="C143" s="2">
        <v>280.21467994227203</v>
      </c>
      <c r="D143" s="2"/>
      <c r="E143" s="3">
        <f t="shared" si="245"/>
        <v>109.56824410787887</v>
      </c>
      <c r="F143" s="3">
        <f t="shared" si="246"/>
        <v>111.28037448919321</v>
      </c>
      <c r="G143" s="3"/>
      <c r="H143" s="5" t="s">
        <v>6</v>
      </c>
      <c r="I143" s="6">
        <f t="shared" si="217"/>
        <v>0.10019326194792244</v>
      </c>
      <c r="J143" s="6">
        <f t="shared" ref="J143" si="273">+AVERAGE(B133:B143)/AVERAGE(B121:B131)-1</f>
        <v>8.6081447671792599E-2</v>
      </c>
      <c r="K143" s="6">
        <f t="shared" si="219"/>
        <v>-4.7592867197767563E-2</v>
      </c>
      <c r="L143" s="6">
        <f t="shared" ref="L143" si="274">+F143/F132-1</f>
        <v>4.9107778420830916E-2</v>
      </c>
    </row>
    <row r="144" spans="1:12" x14ac:dyDescent="0.2">
      <c r="A144" s="1">
        <v>40148</v>
      </c>
      <c r="B144" s="13">
        <v>270.18129112993103</v>
      </c>
      <c r="C144" s="2">
        <v>265.187182726765</v>
      </c>
      <c r="D144" s="2"/>
      <c r="E144" s="3">
        <f t="shared" si="245"/>
        <v>106.9377869196307</v>
      </c>
      <c r="F144" s="3">
        <f t="shared" si="246"/>
        <v>105.31257323723369</v>
      </c>
      <c r="G144" s="3"/>
      <c r="H144" s="5" t="s">
        <v>7</v>
      </c>
      <c r="I144" s="6">
        <f t="shared" si="217"/>
        <v>-6.2657138569334192E-3</v>
      </c>
      <c r="J144" s="6">
        <f t="shared" ref="J144" si="275">+AVERAGE(B133:B144)/AVERAGE(B121:B132)-1</f>
        <v>7.8064664696466002E-2</v>
      </c>
      <c r="K144" s="6">
        <f t="shared" si="219"/>
        <v>-5.3628515174875435E-2</v>
      </c>
      <c r="L144" s="6">
        <f t="shared" ref="L144" si="276">+F144/F132-1</f>
        <v>-7.15431399429034E-3</v>
      </c>
    </row>
    <row r="145" spans="1:12" x14ac:dyDescent="0.2">
      <c r="A145" s="1">
        <v>40179</v>
      </c>
      <c r="B145" s="13">
        <v>238.73410617334099</v>
      </c>
      <c r="C145" s="2">
        <v>248.446862692254</v>
      </c>
      <c r="D145" s="2"/>
      <c r="E145" s="3">
        <f t="shared" si="245"/>
        <v>94.490987401995639</v>
      </c>
      <c r="F145" s="3">
        <f t="shared" si="246"/>
        <v>98.664566491501787</v>
      </c>
      <c r="G145" s="3"/>
      <c r="H145" s="5" t="s">
        <v>20</v>
      </c>
      <c r="I145" s="6">
        <f t="shared" si="217"/>
        <v>-0.14336710578613587</v>
      </c>
      <c r="J145" s="6">
        <f t="shared" ref="J145" si="277">+AVERAGE(B145:B145)/AVERAGE(B133:B133)-1</f>
        <v>-0.14336710578613576</v>
      </c>
      <c r="K145" s="6">
        <f t="shared" si="219"/>
        <v>-6.3126429650106397E-2</v>
      </c>
      <c r="L145" s="6">
        <f t="shared" ref="L145" si="278">+F145/F144-1</f>
        <v>-6.3126429650106397E-2</v>
      </c>
    </row>
    <row r="146" spans="1:12" x14ac:dyDescent="0.2">
      <c r="A146" s="1">
        <v>40210</v>
      </c>
      <c r="B146" s="13">
        <v>205.29599999999999</v>
      </c>
      <c r="C146" s="2">
        <v>230.54449657988101</v>
      </c>
      <c r="D146" s="2"/>
      <c r="E146" s="3">
        <f t="shared" si="245"/>
        <v>81.256181031775455</v>
      </c>
      <c r="F146" s="3">
        <f t="shared" si="246"/>
        <v>91.555081700633863</v>
      </c>
      <c r="G146" s="3"/>
      <c r="H146" s="5" t="s">
        <v>0</v>
      </c>
      <c r="I146" s="6">
        <f t="shared" si="217"/>
        <v>-0.18432928333843701</v>
      </c>
      <c r="J146" s="6">
        <f t="shared" ref="J146" si="279">+AVERAGE(B145:B146)/AVERAGE(B133:B134)-1</f>
        <v>-0.16280559694536301</v>
      </c>
      <c r="K146" s="6">
        <f t="shared" si="219"/>
        <v>-7.2057122872782098E-2</v>
      </c>
      <c r="L146" s="6">
        <f t="shared" ref="L146" si="280">+F146/F144-1</f>
        <v>-0.13063484362507072</v>
      </c>
    </row>
    <row r="147" spans="1:12" x14ac:dyDescent="0.2">
      <c r="A147" s="1">
        <v>40238</v>
      </c>
      <c r="B147" s="13">
        <v>230.86099999999999</v>
      </c>
      <c r="C147" s="2">
        <v>225.42371961400099</v>
      </c>
      <c r="D147" s="2"/>
      <c r="E147" s="3">
        <f t="shared" si="245"/>
        <v>91.374811049298145</v>
      </c>
      <c r="F147" s="3">
        <f t="shared" si="246"/>
        <v>89.521490960290933</v>
      </c>
      <c r="G147" s="3"/>
      <c r="H147" s="5" t="s">
        <v>1</v>
      </c>
      <c r="I147" s="6">
        <f t="shared" si="217"/>
        <v>-0.11729114031913834</v>
      </c>
      <c r="J147" s="6">
        <f t="shared" ref="J147" si="281">+AVERAGE(B145:B147)/AVERAGE(B133:B135)-1</f>
        <v>-0.14777405631082308</v>
      </c>
      <c r="K147" s="6">
        <f t="shared" si="219"/>
        <v>-2.221166430709276E-2</v>
      </c>
      <c r="L147" s="6">
        <f t="shared" ref="L147" si="282">+F147/F144-1</f>
        <v>-0.14994489063875382</v>
      </c>
    </row>
    <row r="148" spans="1:12" x14ac:dyDescent="0.2">
      <c r="A148" s="1">
        <v>40269</v>
      </c>
      <c r="B148" s="13">
        <v>210.271632326559</v>
      </c>
      <c r="C148" s="2">
        <v>218.68957859024599</v>
      </c>
      <c r="D148" s="2"/>
      <c r="E148" s="3">
        <f t="shared" si="245"/>
        <v>83.22553689391809</v>
      </c>
      <c r="F148" s="3">
        <f t="shared" si="246"/>
        <v>86.847192329181098</v>
      </c>
      <c r="G148" s="3"/>
      <c r="H148" s="5" t="s">
        <v>2</v>
      </c>
      <c r="I148" s="6">
        <f t="shared" si="217"/>
        <v>-0.26036517872709841</v>
      </c>
      <c r="J148" s="6">
        <f t="shared" ref="J148" si="283">+AVERAGE(B145:B148)/AVERAGE(B133:B136)-1</f>
        <v>-0.1775161634564445</v>
      </c>
      <c r="K148" s="6">
        <f t="shared" si="219"/>
        <v>-2.9873258392178359E-2</v>
      </c>
      <c r="L148" s="6">
        <f t="shared" ref="L148" si="284">+F148/F144-1</f>
        <v>-0.17533880656829381</v>
      </c>
    </row>
    <row r="149" spans="1:12" x14ac:dyDescent="0.2">
      <c r="A149" s="1">
        <v>40299</v>
      </c>
      <c r="B149" s="13">
        <v>209.47</v>
      </c>
      <c r="C149" s="2">
        <v>219.77466957778299</v>
      </c>
      <c r="D149" s="2"/>
      <c r="E149" s="3">
        <f t="shared" si="245"/>
        <v>82.908250724446674</v>
      </c>
      <c r="F149" s="3">
        <f t="shared" si="246"/>
        <v>87.278109551194021</v>
      </c>
      <c r="G149" s="3"/>
      <c r="H149" s="5" t="s">
        <v>1</v>
      </c>
      <c r="I149" s="6">
        <f t="shared" si="217"/>
        <v>-0.19703522884797686</v>
      </c>
      <c r="J149" s="6">
        <f t="shared" ref="J149" si="285">+AVERAGE(B145:B149)/AVERAGE(B133:B137)-1</f>
        <v>-0.18132443367049378</v>
      </c>
      <c r="K149" s="6">
        <f t="shared" si="219"/>
        <v>4.9617864487732088E-3</v>
      </c>
      <c r="L149" s="6">
        <f t="shared" ref="L149" si="286">+F149/F144-1</f>
        <v>-0.17124701383389529</v>
      </c>
    </row>
    <row r="150" spans="1:12" x14ac:dyDescent="0.2">
      <c r="A150" s="1">
        <v>40330</v>
      </c>
      <c r="B150" s="13">
        <v>211.017</v>
      </c>
      <c r="C150" s="2">
        <v>210.959219251484</v>
      </c>
      <c r="D150" s="2"/>
      <c r="E150" s="3">
        <f t="shared" si="245"/>
        <v>83.520553507044269</v>
      </c>
      <c r="F150" s="3">
        <f t="shared" si="246"/>
        <v>83.777270074106227</v>
      </c>
      <c r="G150" s="3"/>
      <c r="H150" s="5" t="s">
        <v>3</v>
      </c>
      <c r="I150" s="6">
        <f t="shared" si="217"/>
        <v>-0.29843014275436519</v>
      </c>
      <c r="J150" s="6">
        <f t="shared" ref="J150" si="287">+AVERAGE(B145:B150)/AVERAGE(B133:B138)-1</f>
        <v>-0.20282990200874496</v>
      </c>
      <c r="K150" s="6">
        <f t="shared" si="219"/>
        <v>-4.0111311932510829E-2</v>
      </c>
      <c r="L150" s="6">
        <f t="shared" ref="L150" si="288">+F150/F144-1</f>
        <v>-0.20448938337700373</v>
      </c>
    </row>
    <row r="151" spans="1:12" x14ac:dyDescent="0.2">
      <c r="A151" s="1">
        <v>40360</v>
      </c>
      <c r="B151" s="13">
        <v>227.398</v>
      </c>
      <c r="C151" s="2">
        <v>215.35505966140599</v>
      </c>
      <c r="D151" s="2"/>
      <c r="E151" s="3">
        <f t="shared" si="245"/>
        <v>90.004155240548641</v>
      </c>
      <c r="F151" s="3">
        <f t="shared" si="246"/>
        <v>85.522970074947096</v>
      </c>
      <c r="G151" s="3"/>
      <c r="H151" s="5" t="s">
        <v>3</v>
      </c>
      <c r="I151" s="6">
        <f t="shared" si="217"/>
        <v>-0.26942780578144043</v>
      </c>
      <c r="J151" s="6">
        <f t="shared" ref="J151" si="289">+AVERAGE(B145:B151)/AVERAGE(B133:B139)-1</f>
        <v>-0.21346511935488632</v>
      </c>
      <c r="K151" s="6">
        <f t="shared" si="219"/>
        <v>2.0837394191726366E-2</v>
      </c>
      <c r="L151" s="6">
        <f t="shared" ref="L151" si="290">+F151/F144-1</f>
        <v>-0.18791301507472713</v>
      </c>
    </row>
    <row r="152" spans="1:12" x14ac:dyDescent="0.2">
      <c r="A152" s="1">
        <v>40391</v>
      </c>
      <c r="B152" s="13">
        <v>238.846</v>
      </c>
      <c r="C152" s="2">
        <v>227.89750158287401</v>
      </c>
      <c r="D152" s="2"/>
      <c r="E152" s="3">
        <f t="shared" si="245"/>
        <v>94.535274991794481</v>
      </c>
      <c r="F152" s="3">
        <f t="shared" si="246"/>
        <v>90.503892681562334</v>
      </c>
      <c r="G152" s="3"/>
      <c r="H152" s="5" t="s">
        <v>2</v>
      </c>
      <c r="I152" s="6">
        <f t="shared" si="217"/>
        <v>-0.18973738710206378</v>
      </c>
      <c r="J152" s="6">
        <f t="shared" ref="J152" si="291">+AVERAGE(B145:B152)/AVERAGE(B133:B140)-1</f>
        <v>-0.21034805015383928</v>
      </c>
      <c r="K152" s="6">
        <f t="shared" si="219"/>
        <v>5.8240758035534412E-2</v>
      </c>
      <c r="L152" s="6">
        <f t="shared" ref="L152" si="292">+F152/F144-1</f>
        <v>-0.14061645348188767</v>
      </c>
    </row>
    <row r="153" spans="1:12" x14ac:dyDescent="0.2">
      <c r="A153" s="1">
        <v>40422</v>
      </c>
      <c r="B153" s="13">
        <v>225.58699999999999</v>
      </c>
      <c r="C153" s="2">
        <v>210.662591878841</v>
      </c>
      <c r="D153" s="2"/>
      <c r="E153" s="3">
        <f t="shared" si="245"/>
        <v>89.287361226790239</v>
      </c>
      <c r="F153" s="3">
        <f t="shared" si="246"/>
        <v>83.659471802016199</v>
      </c>
      <c r="G153" s="3"/>
      <c r="H153" s="5" t="s">
        <v>4</v>
      </c>
      <c r="I153" s="6">
        <f t="shared" si="217"/>
        <v>-0.20227405480066241</v>
      </c>
      <c r="J153" s="6">
        <f t="shared" ref="J153" si="293">+AVERAGE(B145:B153)/AVERAGE(B133:B141)-1</f>
        <v>-0.20944440346002191</v>
      </c>
      <c r="K153" s="6">
        <f t="shared" si="219"/>
        <v>-7.5625707102215056E-2</v>
      </c>
      <c r="L153" s="6">
        <f t="shared" ref="L153" si="294">+F153/F144-1</f>
        <v>-0.20560794185932918</v>
      </c>
    </row>
    <row r="154" spans="1:12" x14ac:dyDescent="0.2">
      <c r="A154" s="1">
        <v>40452</v>
      </c>
      <c r="B154" s="13">
        <v>205.18600000000001</v>
      </c>
      <c r="C154" s="2">
        <v>205.25538864905599</v>
      </c>
      <c r="D154" s="2"/>
      <c r="E154" s="3">
        <f t="shared" si="245"/>
        <v>81.21264301879178</v>
      </c>
      <c r="F154" s="3">
        <f t="shared" si="246"/>
        <v>81.512133909249073</v>
      </c>
      <c r="G154" s="3"/>
      <c r="H154" s="5" t="s">
        <v>5</v>
      </c>
      <c r="I154" s="6">
        <f t="shared" si="217"/>
        <v>-0.32216241963974368</v>
      </c>
      <c r="J154" s="6">
        <f t="shared" ref="J154" si="295">+AVERAGE(B145:B154)/AVERAGE(B133:B142)-1</f>
        <v>-0.22150373289830894</v>
      </c>
      <c r="K154" s="6">
        <f t="shared" si="219"/>
        <v>-2.5667600410493763E-2</v>
      </c>
      <c r="L154" s="6">
        <f t="shared" ref="L154" si="296">+F154/F144-1</f>
        <v>-0.22599807977695374</v>
      </c>
    </row>
    <row r="155" spans="1:12" x14ac:dyDescent="0.2">
      <c r="A155" s="1">
        <v>40483</v>
      </c>
      <c r="B155" s="13">
        <v>212.23400000000001</v>
      </c>
      <c r="C155" s="2">
        <v>209.326502049721</v>
      </c>
      <c r="D155" s="2"/>
      <c r="E155" s="3">
        <f t="shared" si="245"/>
        <v>84.00224225069087</v>
      </c>
      <c r="F155" s="3">
        <f t="shared" si="246"/>
        <v>83.128876557804489</v>
      </c>
      <c r="G155" s="3"/>
      <c r="H155" s="5" t="s">
        <v>6</v>
      </c>
      <c r="I155" s="6">
        <f t="shared" si="217"/>
        <v>-0.23333404733597984</v>
      </c>
      <c r="J155" s="6">
        <f t="shared" ref="J155" si="297">+AVERAGE(B145:B155)/AVERAGE(B133:B143)-1</f>
        <v>-0.22255805607548051</v>
      </c>
      <c r="K155" s="6">
        <f t="shared" si="219"/>
        <v>1.9834380122539796E-2</v>
      </c>
      <c r="L155" s="6">
        <f t="shared" ref="L155" si="298">+F155/F144-1</f>
        <v>-0.21064623147567407</v>
      </c>
    </row>
    <row r="156" spans="1:12" x14ac:dyDescent="0.2">
      <c r="A156" s="1">
        <v>40513</v>
      </c>
      <c r="B156" s="13">
        <v>210.97900000000001</v>
      </c>
      <c r="C156" s="2">
        <v>204.54256760775101</v>
      </c>
      <c r="D156" s="2"/>
      <c r="E156" s="3">
        <f t="shared" si="245"/>
        <v>83.505513102559021</v>
      </c>
      <c r="F156" s="3">
        <f t="shared" si="246"/>
        <v>81.229054548679755</v>
      </c>
      <c r="G156" s="3"/>
      <c r="H156" s="5" t="s">
        <v>7</v>
      </c>
      <c r="I156" s="6">
        <f t="shared" si="217"/>
        <v>-0.21912061668792759</v>
      </c>
      <c r="J156" s="6">
        <f t="shared" ref="J156" si="299">+AVERAGE(B145:B156)/AVERAGE(B133:B144)-1</f>
        <v>-0.22228298996438123</v>
      </c>
      <c r="K156" s="6">
        <f t="shared" si="219"/>
        <v>-2.2853935813792359E-2</v>
      </c>
      <c r="L156" s="6">
        <f t="shared" ref="L156" si="300">+F156/F144-1</f>
        <v>-0.22868607183590406</v>
      </c>
    </row>
    <row r="157" spans="1:12" x14ac:dyDescent="0.2">
      <c r="A157" s="1">
        <v>40544</v>
      </c>
      <c r="B157" s="13">
        <v>201.48073097442699</v>
      </c>
      <c r="C157" s="2">
        <v>210.950312114707</v>
      </c>
      <c r="D157" s="2"/>
      <c r="E157" s="3">
        <f t="shared" si="245"/>
        <v>79.746097101124661</v>
      </c>
      <c r="F157" s="3">
        <f t="shared" si="246"/>
        <v>83.773732823608228</v>
      </c>
      <c r="G157" s="3"/>
      <c r="H157" s="5" t="s">
        <v>21</v>
      </c>
      <c r="I157" s="6">
        <f t="shared" si="217"/>
        <v>-0.15604546747026127</v>
      </c>
      <c r="J157" s="6">
        <f t="shared" ref="J157" si="301">+AVERAGE(B157:B157)/AVERAGE(B145:B145)-1</f>
        <v>-0.15604546747026138</v>
      </c>
      <c r="K157" s="6">
        <f t="shared" si="219"/>
        <v>3.132719307231957E-2</v>
      </c>
      <c r="L157" s="6">
        <f t="shared" ref="L157" si="302">+F157/F156-1</f>
        <v>3.132719307231957E-2</v>
      </c>
    </row>
    <row r="158" spans="1:12" x14ac:dyDescent="0.2">
      <c r="A158" s="1">
        <v>40575</v>
      </c>
      <c r="B158" s="13">
        <v>194.09184398845301</v>
      </c>
      <c r="C158" s="2">
        <v>217.18566731745199</v>
      </c>
      <c r="D158" s="2"/>
      <c r="E158" s="3">
        <f t="shared" si="245"/>
        <v>76.821574759941043</v>
      </c>
      <c r="F158" s="3">
        <f t="shared" si="246"/>
        <v>86.249950922451404</v>
      </c>
      <c r="G158" s="3"/>
      <c r="H158" s="5" t="s">
        <v>0</v>
      </c>
      <c r="I158" s="6">
        <f t="shared" si="217"/>
        <v>-5.4575617701012158E-2</v>
      </c>
      <c r="J158" s="6">
        <f t="shared" ref="J158" si="303">+AVERAGE(B157:B158)/AVERAGE(B145:B146)-1</f>
        <v>-0.10913118398225019</v>
      </c>
      <c r="K158" s="6">
        <f t="shared" si="219"/>
        <v>2.9558407097091344E-2</v>
      </c>
      <c r="L158" s="6">
        <f t="shared" ref="L158" si="304">+F158/F156-1</f>
        <v>6.1811582095451678E-2</v>
      </c>
    </row>
    <row r="159" spans="1:12" x14ac:dyDescent="0.2">
      <c r="A159" s="1">
        <v>40603</v>
      </c>
      <c r="B159" s="13">
        <v>218.42898940338901</v>
      </c>
      <c r="C159" s="2">
        <v>211.15367809590501</v>
      </c>
      <c r="D159" s="2"/>
      <c r="E159" s="3">
        <f t="shared" si="245"/>
        <v>86.454219787767613</v>
      </c>
      <c r="F159" s="3">
        <f t="shared" si="246"/>
        <v>83.854494625776269</v>
      </c>
      <c r="G159" s="3"/>
      <c r="H159" s="5" t="s">
        <v>1</v>
      </c>
      <c r="I159" s="6">
        <f t="shared" si="217"/>
        <v>-5.38506313175936E-2</v>
      </c>
      <c r="J159" s="6">
        <f t="shared" ref="J159" si="305">+AVERAGE(B157:B159)/AVERAGE(B145:B147)-1</f>
        <v>-9.0221283478334802E-2</v>
      </c>
      <c r="K159" s="6">
        <f t="shared" si="219"/>
        <v>-2.777342214175782E-2</v>
      </c>
      <c r="L159" s="6">
        <f t="shared" ref="L159" si="306">+F159/F156-1</f>
        <v>3.2321440790907152E-2</v>
      </c>
    </row>
    <row r="160" spans="1:12" x14ac:dyDescent="0.2">
      <c r="A160" s="1">
        <v>40634</v>
      </c>
      <c r="B160" s="13">
        <v>191.348445899653</v>
      </c>
      <c r="C160" s="2">
        <v>207.80350058004001</v>
      </c>
      <c r="D160" s="2"/>
      <c r="E160" s="3">
        <f t="shared" si="245"/>
        <v>75.735737472581519</v>
      </c>
      <c r="F160" s="3">
        <f t="shared" si="246"/>
        <v>82.524053948480073</v>
      </c>
      <c r="G160" s="3"/>
      <c r="H160" s="5" t="s">
        <v>2</v>
      </c>
      <c r="I160" s="6">
        <f t="shared" si="217"/>
        <v>-8.9994005456321746E-2</v>
      </c>
      <c r="J160" s="6">
        <f t="shared" ref="J160" si="307">+AVERAGE(B157:B160)/AVERAGE(B145:B148)-1</f>
        <v>-9.0167293269978743E-2</v>
      </c>
      <c r="K160" s="6">
        <f t="shared" si="219"/>
        <v>-1.5866062794053559E-2</v>
      </c>
      <c r="L160" s="6">
        <f t="shared" ref="L160" si="308">+F160/F156-1</f>
        <v>1.5942563987670688E-2</v>
      </c>
    </row>
    <row r="161" spans="1:12" x14ac:dyDescent="0.2">
      <c r="A161" s="1">
        <v>40664</v>
      </c>
      <c r="B161" s="13">
        <v>207.99848524672601</v>
      </c>
      <c r="C161" s="2">
        <v>208.56497546463899</v>
      </c>
      <c r="D161" s="2"/>
      <c r="E161" s="3">
        <f t="shared" si="245"/>
        <v>82.325825011413002</v>
      </c>
      <c r="F161" s="3">
        <f t="shared" si="246"/>
        <v>82.826454987354069</v>
      </c>
      <c r="G161" s="3"/>
      <c r="H161" s="5" t="s">
        <v>1</v>
      </c>
      <c r="I161" s="6">
        <f t="shared" si="217"/>
        <v>-7.0249427281902088E-3</v>
      </c>
      <c r="J161" s="6">
        <f t="shared" ref="J161" si="309">+AVERAGE(B157:B161)/AVERAGE(B145:B149)-1</f>
        <v>-7.4257091103126505E-2</v>
      </c>
      <c r="K161" s="6">
        <f t="shared" si="219"/>
        <v>3.6643987347346751E-3</v>
      </c>
      <c r="L161" s="6">
        <f t="shared" ref="L161" si="310">+F161/F156-1</f>
        <v>1.9665382633710315E-2</v>
      </c>
    </row>
    <row r="162" spans="1:12" x14ac:dyDescent="0.2">
      <c r="A162" s="1">
        <v>40695</v>
      </c>
      <c r="B162" s="13">
        <v>203.91686551334701</v>
      </c>
      <c r="C162" s="2">
        <v>204.027613787219</v>
      </c>
      <c r="D162" s="2"/>
      <c r="E162" s="3">
        <f t="shared" si="245"/>
        <v>80.710319439174327</v>
      </c>
      <c r="F162" s="3">
        <f t="shared" si="246"/>
        <v>81.02455329269543</v>
      </c>
      <c r="G162" s="3"/>
      <c r="H162" s="5" t="s">
        <v>3</v>
      </c>
      <c r="I162" s="6">
        <f t="shared" si="217"/>
        <v>-3.3647215563926136E-2</v>
      </c>
      <c r="J162" s="6">
        <f t="shared" ref="J162" si="311">+AVERAGE(B157:B162)/AVERAGE(B145:B150)-1</f>
        <v>-6.7693788669120791E-2</v>
      </c>
      <c r="K162" s="6">
        <f t="shared" si="219"/>
        <v>-2.1755146890371613E-2</v>
      </c>
      <c r="L162" s="6">
        <f t="shared" ref="L162" si="312">+F162/F156-1</f>
        <v>-2.5175875445130336E-3</v>
      </c>
    </row>
    <row r="163" spans="1:12" x14ac:dyDescent="0.2">
      <c r="A163" s="1">
        <v>40725</v>
      </c>
      <c r="B163" s="13">
        <v>205.463512244349</v>
      </c>
      <c r="C163" s="2">
        <v>202.54484190026201</v>
      </c>
      <c r="D163" s="2"/>
      <c r="E163" s="3">
        <f t="shared" si="245"/>
        <v>81.322482397860824</v>
      </c>
      <c r="F163" s="3">
        <f t="shared" si="246"/>
        <v>80.435706873597695</v>
      </c>
      <c r="G163" s="3"/>
      <c r="H163" s="5" t="s">
        <v>3</v>
      </c>
      <c r="I163" s="6">
        <f t="shared" si="217"/>
        <v>-9.6458578156584429E-2</v>
      </c>
      <c r="J163" s="6">
        <f t="shared" ref="J163" si="313">+AVERAGE(B157:B163)/AVERAGE(B145:B151)-1</f>
        <v>-7.1960489200097455E-2</v>
      </c>
      <c r="K163" s="6">
        <f t="shared" si="219"/>
        <v>-7.2675058999778219E-3</v>
      </c>
      <c r="L163" s="6">
        <f t="shared" ref="L163" si="314">+F163/F156-1</f>
        <v>-9.766796862157423E-3</v>
      </c>
    </row>
    <row r="164" spans="1:12" x14ac:dyDescent="0.2">
      <c r="A164" s="1">
        <v>40756</v>
      </c>
      <c r="B164" s="13">
        <v>221.573236088871</v>
      </c>
      <c r="C164" s="2">
        <v>205.18421646449099</v>
      </c>
      <c r="D164" s="2"/>
      <c r="E164" s="3">
        <f t="shared" si="245"/>
        <v>87.698712997007362</v>
      </c>
      <c r="F164" s="3">
        <f t="shared" si="246"/>
        <v>81.483869625046552</v>
      </c>
      <c r="G164" s="3"/>
      <c r="H164" s="5" t="s">
        <v>2</v>
      </c>
      <c r="I164" s="6">
        <f t="shared" si="217"/>
        <v>-7.2317576644067794E-2</v>
      </c>
      <c r="J164" s="6">
        <f t="shared" ref="J164" si="315">+AVERAGE(B157:B164)/AVERAGE(B145:B152)-1</f>
        <v>-7.2008623524289384E-2</v>
      </c>
      <c r="K164" s="6">
        <f t="shared" si="219"/>
        <v>1.303106284744926E-2</v>
      </c>
      <c r="L164" s="6">
        <f t="shared" ref="L164" si="316">+F164/F156-1</f>
        <v>3.1369942415626628E-3</v>
      </c>
    </row>
    <row r="165" spans="1:12" x14ac:dyDescent="0.2">
      <c r="A165" s="1">
        <v>40787</v>
      </c>
      <c r="B165" s="13">
        <v>220.21708505047999</v>
      </c>
      <c r="C165" s="2">
        <v>206.49233522140801</v>
      </c>
      <c r="D165" s="2"/>
      <c r="E165" s="3">
        <f t="shared" si="245"/>
        <v>87.161948255941141</v>
      </c>
      <c r="F165" s="3">
        <f t="shared" si="246"/>
        <v>82.003356845259475</v>
      </c>
      <c r="G165" s="3"/>
      <c r="H165" s="5" t="s">
        <v>4</v>
      </c>
      <c r="I165" s="6">
        <f t="shared" si="217"/>
        <v>-2.3804186187679321E-2</v>
      </c>
      <c r="J165" s="6">
        <f t="shared" ref="J165" si="317">+AVERAGE(B157:B165)/AVERAGE(B145:B153)-1</f>
        <v>-6.6564618885916582E-2</v>
      </c>
      <c r="K165" s="6">
        <f t="shared" si="219"/>
        <v>6.3753381203344173E-3</v>
      </c>
      <c r="L165" s="6">
        <f t="shared" ref="L165" si="318">+F165/F156-1</f>
        <v>9.5323317608686509E-3</v>
      </c>
    </row>
    <row r="166" spans="1:12" x14ac:dyDescent="0.2">
      <c r="A166" s="1">
        <v>40817</v>
      </c>
      <c r="B166" s="13">
        <v>210.00842199948099</v>
      </c>
      <c r="C166" s="2">
        <v>210.71705819944299</v>
      </c>
      <c r="D166" s="2"/>
      <c r="E166" s="3">
        <f t="shared" si="245"/>
        <v>83.121358215393002</v>
      </c>
      <c r="F166" s="3">
        <f t="shared" si="246"/>
        <v>83.681101762855107</v>
      </c>
      <c r="G166" s="3"/>
      <c r="H166" s="5" t="s">
        <v>5</v>
      </c>
      <c r="I166" s="6">
        <f t="shared" si="217"/>
        <v>2.350268536586797E-2</v>
      </c>
      <c r="J166" s="6">
        <f t="shared" ref="J166" si="319">+AVERAGE(B157:B166)/AVERAGE(B145:B154)-1</f>
        <v>-5.817453900356806E-2</v>
      </c>
      <c r="K166" s="6">
        <f t="shared" si="219"/>
        <v>2.0459466321135267E-2</v>
      </c>
      <c r="L166" s="6">
        <f t="shared" ref="L166" si="320">+F166/F156-1</f>
        <v>3.0186824502627552E-2</v>
      </c>
    </row>
    <row r="167" spans="1:12" x14ac:dyDescent="0.2">
      <c r="A167" s="1">
        <v>40848</v>
      </c>
      <c r="B167" s="13">
        <v>206.83717879671201</v>
      </c>
      <c r="C167" s="2">
        <v>205.52115371491499</v>
      </c>
      <c r="D167" s="2"/>
      <c r="E167" s="3">
        <f t="shared" si="245"/>
        <v>81.866179781424577</v>
      </c>
      <c r="F167" s="3">
        <f t="shared" si="246"/>
        <v>81.617675974572094</v>
      </c>
      <c r="G167" s="3"/>
      <c r="H167" s="5" t="s">
        <v>6</v>
      </c>
      <c r="I167" s="6">
        <f t="shared" si="217"/>
        <v>-2.5428636332010868E-2</v>
      </c>
      <c r="J167" s="6">
        <f t="shared" ref="J167" si="321">+AVERAGE(B157:B167)/AVERAGE(B145:B155)-1</f>
        <v>-5.5296659264331804E-2</v>
      </c>
      <c r="K167" s="6">
        <f t="shared" si="219"/>
        <v>-2.4658205315348014E-2</v>
      </c>
      <c r="L167" s="6">
        <f t="shared" ref="L167" si="322">+F167/F156-1</f>
        <v>4.7842662708752481E-3</v>
      </c>
    </row>
    <row r="168" spans="1:12" x14ac:dyDescent="0.2">
      <c r="A168" s="1">
        <v>40878</v>
      </c>
      <c r="B168" s="13">
        <v>215.88568468698099</v>
      </c>
      <c r="C168" s="2">
        <v>216.82080985547299</v>
      </c>
      <c r="D168" s="2"/>
      <c r="E168" s="3">
        <f t="shared" si="245"/>
        <v>85.447579480818533</v>
      </c>
      <c r="F168" s="3">
        <f t="shared" si="246"/>
        <v>86.105056746983635</v>
      </c>
      <c r="G168" s="3"/>
      <c r="H168" s="5" t="s">
        <v>7</v>
      </c>
      <c r="I168" s="6">
        <f t="shared" si="217"/>
        <v>2.3256744448409306E-2</v>
      </c>
      <c r="J168" s="6">
        <f t="shared" ref="J168" si="323">+AVERAGE(B157:B168)/AVERAGE(B145:B156)-1</f>
        <v>-4.8985205499363027E-2</v>
      </c>
      <c r="K168" s="6">
        <f t="shared" si="219"/>
        <v>5.4980501696833217E-2</v>
      </c>
      <c r="L168" s="6">
        <f t="shared" ref="L168" si="324">+F168/F156-1</f>
        <v>6.0027809327532378E-2</v>
      </c>
    </row>
    <row r="169" spans="1:12" x14ac:dyDescent="0.2">
      <c r="A169" s="1">
        <v>40909</v>
      </c>
      <c r="B169" s="13">
        <v>215.408672898585</v>
      </c>
      <c r="C169" s="2">
        <v>216.10622378574001</v>
      </c>
      <c r="D169" s="2"/>
      <c r="E169" s="3">
        <f t="shared" si="245"/>
        <v>85.258778158668107</v>
      </c>
      <c r="F169" s="3">
        <f t="shared" si="246"/>
        <v>85.821276448745763</v>
      </c>
      <c r="G169" s="3"/>
      <c r="H169" s="5" t="s">
        <v>22</v>
      </c>
      <c r="I169" s="6">
        <f t="shared" si="217"/>
        <v>6.9127910429934936E-2</v>
      </c>
      <c r="J169" s="6">
        <f t="shared" ref="J169" si="325">+AVERAGE(B169:B169)/AVERAGE(B157:B157)-1</f>
        <v>6.9127910429934936E-2</v>
      </c>
      <c r="K169" s="6">
        <f t="shared" si="219"/>
        <v>-3.2957448605108741E-3</v>
      </c>
      <c r="L169" s="6">
        <f t="shared" ref="L169" si="326">+F169/F168-1</f>
        <v>-3.2957448605108741E-3</v>
      </c>
    </row>
    <row r="170" spans="1:12" x14ac:dyDescent="0.2">
      <c r="A170" s="1">
        <v>40940</v>
      </c>
      <c r="B170" s="13">
        <v>202.051738469508</v>
      </c>
      <c r="C170" s="2">
        <v>216.48212203937501</v>
      </c>
      <c r="D170" s="2"/>
      <c r="E170" s="3">
        <f t="shared" si="245"/>
        <v>79.972101935075642</v>
      </c>
      <c r="F170" s="3">
        <f t="shared" si="246"/>
        <v>85.97055520331692</v>
      </c>
      <c r="G170" s="3"/>
      <c r="H170" s="5" t="s">
        <v>0</v>
      </c>
      <c r="I170" s="6">
        <f t="shared" si="217"/>
        <v>4.1010968402817261E-2</v>
      </c>
      <c r="J170" s="6">
        <f t="shared" ref="J170" si="327">+AVERAGE(B169:B170)/AVERAGE(B157:B158)-1</f>
        <v>5.5332037129386169E-2</v>
      </c>
      <c r="K170" s="6">
        <f t="shared" si="219"/>
        <v>1.7394142891862252E-3</v>
      </c>
      <c r="L170" s="6">
        <f t="shared" ref="L170" si="328">+F170/F168-1</f>
        <v>-1.5620632370284548E-3</v>
      </c>
    </row>
    <row r="171" spans="1:12" x14ac:dyDescent="0.2">
      <c r="A171" s="1">
        <v>40969</v>
      </c>
      <c r="B171" s="13">
        <v>218.97272698297999</v>
      </c>
      <c r="C171" s="2">
        <v>218.14708310504901</v>
      </c>
      <c r="D171" s="2"/>
      <c r="E171" s="3">
        <f t="shared" si="245"/>
        <v>86.669431185948895</v>
      </c>
      <c r="F171" s="3">
        <f t="shared" si="246"/>
        <v>86.631753577849963</v>
      </c>
      <c r="G171" s="3"/>
      <c r="H171" s="5" t="s">
        <v>1</v>
      </c>
      <c r="I171" s="6">
        <f t="shared" si="217"/>
        <v>2.4893105126573278E-3</v>
      </c>
      <c r="J171" s="6">
        <f t="shared" ref="J171" si="329">+AVERAGE(B169:B171)/AVERAGE(B157:B159)-1</f>
        <v>3.6533415037722783E-2</v>
      </c>
      <c r="K171" s="6">
        <f t="shared" si="219"/>
        <v>7.6909864426177865E-3</v>
      </c>
      <c r="L171" s="6">
        <f t="shared" ref="L171" si="330">+F171/F168-1</f>
        <v>6.1169093984108081E-3</v>
      </c>
    </row>
    <row r="172" spans="1:12" x14ac:dyDescent="0.2">
      <c r="A172" s="1">
        <v>41000</v>
      </c>
      <c r="B172" s="13">
        <v>195.65171812924501</v>
      </c>
      <c r="C172" s="2">
        <v>211.87556813761799</v>
      </c>
      <c r="D172" s="2"/>
      <c r="E172" s="3">
        <f t="shared" si="245"/>
        <v>77.43897312898369</v>
      </c>
      <c r="F172" s="3">
        <f t="shared" si="246"/>
        <v>84.141175517007198</v>
      </c>
      <c r="G172" s="3"/>
      <c r="H172" s="5" t="s">
        <v>2</v>
      </c>
      <c r="I172" s="6">
        <f t="shared" si="217"/>
        <v>2.2489193520017992E-2</v>
      </c>
      <c r="J172" s="6">
        <f t="shared" ref="J172" si="331">+AVERAGE(B169:B172)/AVERAGE(B157:B160)-1</f>
        <v>3.3196555377913661E-2</v>
      </c>
      <c r="K172" s="6">
        <f t="shared" si="219"/>
        <v>-2.8749020514800661E-2</v>
      </c>
      <c r="L172" s="6">
        <f t="shared" ref="L172" si="332">+F172/F168-1</f>
        <v>-2.2807966270171898E-2</v>
      </c>
    </row>
    <row r="173" spans="1:12" x14ac:dyDescent="0.2">
      <c r="A173" s="1">
        <v>41030</v>
      </c>
      <c r="B173" s="13">
        <v>225.51720616582696</v>
      </c>
      <c r="C173" s="2">
        <v>217.493952387088</v>
      </c>
      <c r="D173" s="2"/>
      <c r="E173" s="3">
        <f t="shared" si="245"/>
        <v>89.259736818986553</v>
      </c>
      <c r="F173" s="3">
        <f t="shared" si="246"/>
        <v>86.372378762440334</v>
      </c>
      <c r="G173" s="3"/>
      <c r="H173" s="5" t="s">
        <v>1</v>
      </c>
      <c r="I173" s="6">
        <f t="shared" si="217"/>
        <v>8.4225233170907021E-2</v>
      </c>
      <c r="J173" s="6">
        <f t="shared" ref="J173" si="333">+AVERAGE(B169:B173)/AVERAGE(B157:B161)-1</f>
        <v>4.3670629925896653E-2</v>
      </c>
      <c r="K173" s="6">
        <f t="shared" si="219"/>
        <v>2.6517376679413562E-2</v>
      </c>
      <c r="L173" s="6">
        <f t="shared" ref="L173" si="334">+F173/F168-1</f>
        <v>3.104602976364168E-3</v>
      </c>
    </row>
    <row r="174" spans="1:12" x14ac:dyDescent="0.2">
      <c r="A174" s="1">
        <v>41061</v>
      </c>
      <c r="B174" s="13">
        <v>200.778934356891</v>
      </c>
      <c r="C174" s="2">
        <v>208.43605278324699</v>
      </c>
      <c r="D174" s="2"/>
      <c r="E174" s="3">
        <f t="shared" si="245"/>
        <v>79.468325917068512</v>
      </c>
      <c r="F174" s="3">
        <f t="shared" si="246"/>
        <v>82.775256512426182</v>
      </c>
      <c r="G174" s="3"/>
      <c r="H174" s="5" t="s">
        <v>3</v>
      </c>
      <c r="I174" s="6">
        <f t="shared" si="217"/>
        <v>-1.5388286538028373E-2</v>
      </c>
      <c r="J174" s="6">
        <f t="shared" ref="J174" si="335">+AVERAGE(B169:B174)/AVERAGE(B157:B162)-1</f>
        <v>3.3777052476368974E-2</v>
      </c>
      <c r="K174" s="6">
        <f t="shared" si="219"/>
        <v>-4.1646673410578705E-2</v>
      </c>
      <c r="L174" s="6">
        <f t="shared" ref="L174" si="336">+F174/F168-1</f>
        <v>-3.8671366820440589E-2</v>
      </c>
    </row>
    <row r="175" spans="1:12" x14ac:dyDescent="0.2">
      <c r="A175" s="1">
        <v>41091</v>
      </c>
      <c r="B175" s="13">
        <v>226.962603158023</v>
      </c>
      <c r="C175" s="2">
        <v>216.76730020907601</v>
      </c>
      <c r="D175" s="2"/>
      <c r="E175" s="3">
        <f t="shared" si="245"/>
        <v>89.831825119102803</v>
      </c>
      <c r="F175" s="3">
        <f t="shared" si="246"/>
        <v>86.083806705797116</v>
      </c>
      <c r="G175" s="3"/>
      <c r="H175" s="5" t="s">
        <v>3</v>
      </c>
      <c r="I175" s="6">
        <f t="shared" si="217"/>
        <v>0.1046370261991143</v>
      </c>
      <c r="J175" s="6">
        <f t="shared" ref="J175" si="337">+AVERAGE(B169:B175)/AVERAGE(B157:B163)-1</f>
        <v>4.401030165838038E-2</v>
      </c>
      <c r="K175" s="6">
        <f t="shared" si="219"/>
        <v>3.9970280163061256E-2</v>
      </c>
      <c r="L175" s="6">
        <f t="shared" ref="L175" si="338">+F175/F168-1</f>
        <v>-2.4679202348087959E-4</v>
      </c>
    </row>
    <row r="176" spans="1:12" x14ac:dyDescent="0.2">
      <c r="A176" s="1">
        <v>41122</v>
      </c>
      <c r="B176" s="13">
        <v>219.13542665256699</v>
      </c>
      <c r="C176" s="2">
        <v>205.484625604402</v>
      </c>
      <c r="D176" s="2"/>
      <c r="E176" s="3">
        <f t="shared" si="245"/>
        <v>86.73382773437541</v>
      </c>
      <c r="F176" s="3">
        <f t="shared" si="246"/>
        <v>81.603169733078587</v>
      </c>
      <c r="G176" s="3"/>
      <c r="H176" s="5" t="s">
        <v>2</v>
      </c>
      <c r="I176" s="6">
        <f t="shared" si="217"/>
        <v>-1.1002273917803951E-2</v>
      </c>
      <c r="J176" s="6">
        <f t="shared" ref="J176" si="339">+AVERAGE(B169:B176)/AVERAGE(B157:B164)-1</f>
        <v>3.6597239103379975E-2</v>
      </c>
      <c r="K176" s="6">
        <f t="shared" si="219"/>
        <v>-5.2049707653283761E-2</v>
      </c>
      <c r="L176" s="6">
        <f t="shared" ref="L176" si="340">+F176/F168-1</f>
        <v>-5.2283654224091203E-2</v>
      </c>
    </row>
    <row r="177" spans="1:12" x14ac:dyDescent="0.2">
      <c r="A177" s="1">
        <v>41153</v>
      </c>
      <c r="B177" s="13">
        <v>213.20195087737801</v>
      </c>
      <c r="C177" s="2">
        <v>218.106986401472</v>
      </c>
      <c r="D177" s="2"/>
      <c r="E177" s="3">
        <f t="shared" si="245"/>
        <v>84.385357322207568</v>
      </c>
      <c r="F177" s="3">
        <f t="shared" si="246"/>
        <v>86.615830157311294</v>
      </c>
      <c r="G177" s="3"/>
      <c r="H177" s="5" t="s">
        <v>4</v>
      </c>
      <c r="I177" s="6">
        <f t="shared" si="217"/>
        <v>-3.1855540052643461E-2</v>
      </c>
      <c r="J177" s="6">
        <f t="shared" ref="J177" si="341">+AVERAGE(B169:B177)/AVERAGE(B157:B165)-1</f>
        <v>2.8512328240278828E-2</v>
      </c>
      <c r="K177" s="6">
        <f t="shared" si="219"/>
        <v>6.1427275933385372E-2</v>
      </c>
      <c r="L177" s="6">
        <f t="shared" ref="L177" si="342">+F177/F168-1</f>
        <v>5.9319792544652028E-3</v>
      </c>
    </row>
    <row r="178" spans="1:12" x14ac:dyDescent="0.2">
      <c r="A178" s="1">
        <v>41183</v>
      </c>
      <c r="B178" s="13">
        <v>235.44554909795099</v>
      </c>
      <c r="C178" s="2">
        <v>219.76206619303301</v>
      </c>
      <c r="D178" s="2"/>
      <c r="E178" s="3">
        <f t="shared" si="245"/>
        <v>93.189376123396855</v>
      </c>
      <c r="F178" s="3">
        <f t="shared" si="246"/>
        <v>87.273104426640614</v>
      </c>
      <c r="G178" s="3"/>
      <c r="H178" s="5" t="s">
        <v>5</v>
      </c>
      <c r="I178" s="6">
        <f t="shared" si="217"/>
        <v>0.12112431899770604</v>
      </c>
      <c r="J178" s="6">
        <f t="shared" ref="J178" si="343">+AVERAGE(B169:B178)/AVERAGE(B157:B166)-1</f>
        <v>3.7887618250089794E-2</v>
      </c>
      <c r="K178" s="6">
        <f t="shared" si="219"/>
        <v>7.5883850346476489E-3</v>
      </c>
      <c r="L178" s="6">
        <f t="shared" ref="L178" si="344">+F178/F168-1</f>
        <v>1.3565378431713349E-2</v>
      </c>
    </row>
    <row r="179" spans="1:12" x14ac:dyDescent="0.2">
      <c r="A179" s="1">
        <v>41214</v>
      </c>
      <c r="B179" s="13">
        <v>224.83365638836401</v>
      </c>
      <c r="C179" s="2">
        <v>224.433398268259</v>
      </c>
      <c r="D179" s="2"/>
      <c r="E179" s="3">
        <f t="shared" si="245"/>
        <v>88.989187736385048</v>
      </c>
      <c r="F179" s="3">
        <f t="shared" si="246"/>
        <v>89.128209172764613</v>
      </c>
      <c r="G179" s="3"/>
      <c r="H179" s="5" t="s">
        <v>6</v>
      </c>
      <c r="I179" s="6">
        <f t="shared" si="217"/>
        <v>8.7007943621874917E-2</v>
      </c>
      <c r="J179" s="6">
        <f t="shared" ref="J179" si="345">+AVERAGE(B169:B179)/AVERAGE(B157:B167)-1</f>
        <v>4.2341053116283556E-2</v>
      </c>
      <c r="K179" s="6">
        <f t="shared" si="219"/>
        <v>2.1256316688990307E-2</v>
      </c>
      <c r="L179" s="6">
        <f t="shared" ref="L179" si="346">+F179/F168-1</f>
        <v>3.5110045100654075E-2</v>
      </c>
    </row>
    <row r="180" spans="1:12" x14ac:dyDescent="0.2">
      <c r="A180" s="1">
        <v>41244</v>
      </c>
      <c r="B180" s="13">
        <v>217.854995493449</v>
      </c>
      <c r="C180" s="2">
        <v>225.426345935895</v>
      </c>
      <c r="D180" s="2"/>
      <c r="E180" s="3">
        <f t="shared" si="245"/>
        <v>86.227032930462926</v>
      </c>
      <c r="F180" s="3">
        <f t="shared" si="246"/>
        <v>89.522533939495148</v>
      </c>
      <c r="G180" s="3"/>
      <c r="H180" s="5" t="s">
        <v>7</v>
      </c>
      <c r="I180" s="6">
        <f t="shared" si="217"/>
        <v>9.1220073684985525E-3</v>
      </c>
      <c r="J180" s="6">
        <f t="shared" ref="J180" si="347">+AVERAGE(B169:B180)/AVERAGE(B157:B168)-1</f>
        <v>3.946928815171491E-2</v>
      </c>
      <c r="K180" s="6">
        <f t="shared" si="219"/>
        <v>4.424242003630674E-3</v>
      </c>
      <c r="L180" s="6">
        <f t="shared" ref="L180" si="348">+F180/F168-1</f>
        <v>3.9689622440568506E-2</v>
      </c>
    </row>
    <row r="181" spans="1:12" x14ac:dyDescent="0.2">
      <c r="A181" s="1">
        <v>41275</v>
      </c>
      <c r="B181" s="13">
        <v>239.24862410755199</v>
      </c>
      <c r="C181" s="2">
        <v>231.39810948846201</v>
      </c>
      <c r="D181" s="2"/>
      <c r="E181" s="3">
        <f t="shared" si="245"/>
        <v>94.694633661086641</v>
      </c>
      <c r="F181" s="3">
        <f t="shared" si="246"/>
        <v>91.894073091646192</v>
      </c>
      <c r="G181" s="3"/>
      <c r="H181" s="5" t="s">
        <v>23</v>
      </c>
      <c r="I181" s="6">
        <f t="shared" ref="I181:I244" si="349">+E181/E169-1</f>
        <v>0.11067312605463608</v>
      </c>
      <c r="J181" s="6">
        <f t="shared" ref="J181" si="350">+AVERAGE(B181:B181)/AVERAGE(B169:B169)-1</f>
        <v>0.11067312605463631</v>
      </c>
      <c r="K181" s="6">
        <f t="shared" ref="K181:K244" si="351">+F181/F180-1</f>
        <v>2.6490974370250386E-2</v>
      </c>
      <c r="L181" s="6">
        <f t="shared" ref="L181" si="352">+F181/F180-1</f>
        <v>2.6490974370250386E-2</v>
      </c>
    </row>
    <row r="182" spans="1:12" x14ac:dyDescent="0.2">
      <c r="A182" s="1">
        <v>41306</v>
      </c>
      <c r="B182" s="13">
        <v>217.92952511388299</v>
      </c>
      <c r="C182" s="2">
        <v>236.952796470717</v>
      </c>
      <c r="D182" s="2"/>
      <c r="E182" s="3">
        <f t="shared" si="245"/>
        <v>86.256531763027695</v>
      </c>
      <c r="F182" s="3">
        <f t="shared" si="246"/>
        <v>94.099980532622951</v>
      </c>
      <c r="G182" s="3"/>
      <c r="H182" s="5" t="s">
        <v>0</v>
      </c>
      <c r="I182" s="6">
        <f t="shared" si="349"/>
        <v>7.8582776691976886E-2</v>
      </c>
      <c r="J182" s="6">
        <f t="shared" ref="J182" si="353">+AVERAGE(B181:B182)/AVERAGE(B169:B170)-1</f>
        <v>9.5141327828379696E-2</v>
      </c>
      <c r="K182" s="6">
        <f t="shared" si="351"/>
        <v>2.4004893534067318E-2</v>
      </c>
      <c r="L182" s="6">
        <f t="shared" ref="L182" si="354">+F182/F180-1</f>
        <v>5.1131780923689307E-2</v>
      </c>
    </row>
    <row r="183" spans="1:12" x14ac:dyDescent="0.2">
      <c r="A183" s="1">
        <v>41334</v>
      </c>
      <c r="B183" s="13">
        <v>220.591991474146</v>
      </c>
      <c r="C183" s="2">
        <v>232.22374674302301</v>
      </c>
      <c r="D183" s="2"/>
      <c r="E183" s="3">
        <f t="shared" si="245"/>
        <v>87.310336262679627</v>
      </c>
      <c r="F183" s="3">
        <f t="shared" si="246"/>
        <v>92.221954639103672</v>
      </c>
      <c r="G183" s="3"/>
      <c r="H183" s="5" t="s">
        <v>1</v>
      </c>
      <c r="I183" s="6">
        <f t="shared" si="349"/>
        <v>7.3948226953939322E-3</v>
      </c>
      <c r="J183" s="6">
        <f t="shared" ref="J183" si="355">+AVERAGE(B181:B183)/AVERAGE(B169:B171)-1</f>
        <v>6.4951052755686911E-2</v>
      </c>
      <c r="K183" s="6">
        <f t="shared" si="351"/>
        <v>-1.9957771328849461E-2</v>
      </c>
      <c r="L183" s="6">
        <f t="shared" ref="L183" si="356">+F183/F180-1</f>
        <v>3.0153533203527871E-2</v>
      </c>
    </row>
    <row r="184" spans="1:12" x14ac:dyDescent="0.2">
      <c r="A184" s="1">
        <v>41365</v>
      </c>
      <c r="B184" s="13">
        <v>235.34636567033499</v>
      </c>
      <c r="C184" s="2">
        <v>236.817457687531</v>
      </c>
      <c r="D184" s="2"/>
      <c r="E184" s="3">
        <f t="shared" si="245"/>
        <v>93.150119311039489</v>
      </c>
      <c r="F184" s="3">
        <f t="shared" si="246"/>
        <v>94.046234060528946</v>
      </c>
      <c r="G184" s="3"/>
      <c r="H184" s="5" t="s">
        <v>2</v>
      </c>
      <c r="I184" s="6">
        <f t="shared" si="349"/>
        <v>0.20288422673021556</v>
      </c>
      <c r="J184" s="6">
        <f t="shared" ref="J184" si="357">+AVERAGE(B181:B184)/AVERAGE(B169:B172)-1</f>
        <v>9.7383877683290931E-2</v>
      </c>
      <c r="K184" s="6">
        <f t="shared" si="351"/>
        <v>1.9781400519695236E-2</v>
      </c>
      <c r="L184" s="6">
        <f t="shared" ref="L184" si="358">+F184/F180-1</f>
        <v>5.0531412840606027E-2</v>
      </c>
    </row>
    <row r="185" spans="1:12" x14ac:dyDescent="0.2">
      <c r="A185" s="1">
        <v>41395</v>
      </c>
      <c r="B185" s="13">
        <v>239.41187958901401</v>
      </c>
      <c r="C185" s="2">
        <v>230.84139204035901</v>
      </c>
      <c r="D185" s="2"/>
      <c r="E185" s="3">
        <f t="shared" si="245"/>
        <v>94.759250199918895</v>
      </c>
      <c r="F185" s="3">
        <f t="shared" si="246"/>
        <v>91.67298643721989</v>
      </c>
      <c r="G185" s="3"/>
      <c r="H185" s="5" t="s">
        <v>1</v>
      </c>
      <c r="I185" s="6">
        <f t="shared" si="349"/>
        <v>6.161247587011176E-2</v>
      </c>
      <c r="J185" s="6">
        <f t="shared" ref="J185" si="359">+AVERAGE(B181:B185)/AVERAGE(B169:B173)-1</f>
        <v>8.9756182085421576E-2</v>
      </c>
      <c r="K185" s="6">
        <f t="shared" si="351"/>
        <v>-2.5234903311296963E-2</v>
      </c>
      <c r="L185" s="6">
        <f t="shared" ref="L185" si="360">+F185/F180-1</f>
        <v>2.402135421209306E-2</v>
      </c>
    </row>
    <row r="186" spans="1:12" x14ac:dyDescent="0.2">
      <c r="A186" s="1">
        <v>41426</v>
      </c>
      <c r="B186" s="13">
        <v>222.83833275605099</v>
      </c>
      <c r="C186" s="2">
        <v>238.43600144776599</v>
      </c>
      <c r="D186" s="2"/>
      <c r="E186" s="3">
        <f t="shared" si="245"/>
        <v>88.199438407200816</v>
      </c>
      <c r="F186" s="3">
        <f t="shared" si="246"/>
        <v>94.688998942808496</v>
      </c>
      <c r="G186" s="3"/>
      <c r="H186" s="5" t="s">
        <v>3</v>
      </c>
      <c r="I186" s="6">
        <f t="shared" si="349"/>
        <v>0.10986908795894235</v>
      </c>
      <c r="J186" s="6">
        <f t="shared" ref="J186" si="361">+AVERAGE(B181:B186)/AVERAGE(B169:B174)-1</f>
        <v>9.2965264086598776E-2</v>
      </c>
      <c r="K186" s="6">
        <f t="shared" si="351"/>
        <v>3.2899686404937345E-2</v>
      </c>
      <c r="L186" s="6">
        <f t="shared" ref="L186" si="362">+F186/F180-1</f>
        <v>5.7711335637630201E-2</v>
      </c>
    </row>
    <row r="187" spans="1:12" x14ac:dyDescent="0.2">
      <c r="A187" s="1">
        <v>41456</v>
      </c>
      <c r="B187" s="13">
        <v>256.89724279858501</v>
      </c>
      <c r="C187" s="2">
        <v>239.850924369567</v>
      </c>
      <c r="D187" s="2"/>
      <c r="E187" s="3">
        <f t="shared" si="245"/>
        <v>101.67995902212317</v>
      </c>
      <c r="F187" s="3">
        <f t="shared" si="246"/>
        <v>95.250900812631286</v>
      </c>
      <c r="G187" s="3"/>
      <c r="H187" s="5" t="s">
        <v>3</v>
      </c>
      <c r="I187" s="6">
        <f t="shared" si="349"/>
        <v>0.13189238766229683</v>
      </c>
      <c r="J187" s="6">
        <f t="shared" ref="J187" si="363">+AVERAGE(B181:B187)/AVERAGE(B169:B175)-1</f>
        <v>9.8913383632296181E-2</v>
      </c>
      <c r="K187" s="6">
        <f t="shared" si="351"/>
        <v>5.9341832324384391E-3</v>
      </c>
      <c r="L187" s="6">
        <f t="shared" ref="L187" si="364">+F187/F180-1</f>
        <v>6.3987988510331162E-2</v>
      </c>
    </row>
    <row r="188" spans="1:12" x14ac:dyDescent="0.2">
      <c r="A188" s="1">
        <v>41487</v>
      </c>
      <c r="B188" s="13">
        <v>237.980679663035</v>
      </c>
      <c r="C188" s="2">
        <v>234.429591253338</v>
      </c>
      <c r="D188" s="2"/>
      <c r="E188" s="3">
        <f t="shared" si="245"/>
        <v>94.192781100287078</v>
      </c>
      <c r="F188" s="3">
        <f t="shared" si="246"/>
        <v>93.097951582673346</v>
      </c>
      <c r="G188" s="3"/>
      <c r="H188" s="5" t="s">
        <v>2</v>
      </c>
      <c r="I188" s="6">
        <f t="shared" si="349"/>
        <v>8.5998203477827717E-2</v>
      </c>
      <c r="J188" s="6">
        <f t="shared" ref="J188" si="365">+AVERAGE(B181:B188)/AVERAGE(B169:B176)-1</f>
        <v>9.7252950462440646E-2</v>
      </c>
      <c r="K188" s="6">
        <f t="shared" si="351"/>
        <v>-2.2602927758058944E-2</v>
      </c>
      <c r="L188" s="6">
        <f t="shared" ref="L188" si="366">+F188/F180-1</f>
        <v>3.9938744870589682E-2</v>
      </c>
    </row>
    <row r="189" spans="1:12" x14ac:dyDescent="0.2">
      <c r="A189" s="1">
        <v>41518</v>
      </c>
      <c r="B189" s="13">
        <v>239.669429007487</v>
      </c>
      <c r="C189" s="2">
        <v>237.475236896577</v>
      </c>
      <c r="D189" s="2"/>
      <c r="E189" s="3">
        <f t="shared" si="245"/>
        <v>94.861188290149926</v>
      </c>
      <c r="F189" s="3">
        <f t="shared" si="246"/>
        <v>94.307454909946699</v>
      </c>
      <c r="G189" s="3"/>
      <c r="H189" s="5" t="s">
        <v>4</v>
      </c>
      <c r="I189" s="6">
        <f t="shared" si="349"/>
        <v>0.1241427577054941</v>
      </c>
      <c r="J189" s="6">
        <f t="shared" ref="J189" si="367">+AVERAGE(B181:B189)/AVERAGE(B169:B177)-1</f>
        <v>0.10024247762030947</v>
      </c>
      <c r="K189" s="6">
        <f t="shared" si="351"/>
        <v>1.2991728676213565E-2</v>
      </c>
      <c r="L189" s="6">
        <f t="shared" ref="L189" si="368">+F189/F180-1</f>
        <v>5.3449346883830406E-2</v>
      </c>
    </row>
    <row r="190" spans="1:12" x14ac:dyDescent="0.2">
      <c r="A190" s="1">
        <v>41548</v>
      </c>
      <c r="B190" s="13">
        <v>254.78776594363697</v>
      </c>
      <c r="C190" s="2">
        <v>240.351738328327</v>
      </c>
      <c r="D190" s="2"/>
      <c r="E190" s="3">
        <f t="shared" si="245"/>
        <v>100.84502783394611</v>
      </c>
      <c r="F190" s="3">
        <f t="shared" si="246"/>
        <v>95.449786769968398</v>
      </c>
      <c r="G190" s="3"/>
      <c r="H190" s="5" t="s">
        <v>5</v>
      </c>
      <c r="I190" s="6">
        <f t="shared" si="349"/>
        <v>8.2151550198297452E-2</v>
      </c>
      <c r="J190" s="6">
        <f t="shared" ref="J190" si="369">+AVERAGE(B181:B190)/AVERAGE(B169:B178)-1</f>
        <v>9.8264224931686073E-2</v>
      </c>
      <c r="K190" s="6">
        <f t="shared" si="351"/>
        <v>1.2112847930341175E-2</v>
      </c>
      <c r="L190" s="6">
        <f t="shared" ref="L190" si="370">+F190/F180-1</f>
        <v>6.620961862495145E-2</v>
      </c>
    </row>
    <row r="191" spans="1:12" x14ac:dyDescent="0.2">
      <c r="A191" s="1">
        <v>41579</v>
      </c>
      <c r="B191" s="13">
        <v>222.46900256234301</v>
      </c>
      <c r="C191" s="2">
        <v>230.60423380293901</v>
      </c>
      <c r="D191" s="2"/>
      <c r="E191" s="3">
        <f t="shared" si="245"/>
        <v>88.053257472937901</v>
      </c>
      <c r="F191" s="3">
        <f t="shared" si="246"/>
        <v>91.578804870862513</v>
      </c>
      <c r="G191" s="3"/>
      <c r="H191" s="5" t="s">
        <v>6</v>
      </c>
      <c r="I191" s="6">
        <f t="shared" si="349"/>
        <v>-1.0517348087496603E-2</v>
      </c>
      <c r="J191" s="6">
        <f t="shared" ref="J191" si="371">+AVERAGE(B181:B191)/AVERAGE(B169:B179)-1</f>
        <v>8.7979040603283432E-2</v>
      </c>
      <c r="K191" s="6">
        <f t="shared" si="351"/>
        <v>-4.0555165496962919E-2</v>
      </c>
      <c r="L191" s="6">
        <f t="shared" ref="L191" si="372">+F191/F180-1</f>
        <v>2.2969311087162936E-2</v>
      </c>
    </row>
    <row r="192" spans="1:12" x14ac:dyDescent="0.2">
      <c r="A192" s="1">
        <v>41609</v>
      </c>
      <c r="B192" s="13">
        <v>234.43732800000001</v>
      </c>
      <c r="C192" s="2">
        <v>231.97134260016799</v>
      </c>
      <c r="D192" s="2"/>
      <c r="E192" s="3">
        <f t="shared" si="245"/>
        <v>92.790322093824145</v>
      </c>
      <c r="F192" s="3">
        <f t="shared" si="246"/>
        <v>92.121718536036852</v>
      </c>
      <c r="G192" s="3"/>
      <c r="H192" s="5" t="s">
        <v>7</v>
      </c>
      <c r="I192" s="6">
        <f t="shared" si="349"/>
        <v>7.6116374880417448E-2</v>
      </c>
      <c r="J192" s="6">
        <f t="shared" ref="J192" si="373">+AVERAGE(B181:B192)/AVERAGE(B169:B180)-1</f>
        <v>8.6983460868319762E-2</v>
      </c>
      <c r="K192" s="6">
        <f t="shared" si="351"/>
        <v>5.9283768328262099E-3</v>
      </c>
      <c r="L192" s="6">
        <f t="shared" ref="L192" si="374">+F192/F180-1</f>
        <v>2.903385865170427E-2</v>
      </c>
    </row>
    <row r="193" spans="1:12" x14ac:dyDescent="0.2">
      <c r="A193" s="1">
        <v>41640</v>
      </c>
      <c r="B193" s="13">
        <v>229.76008254500201</v>
      </c>
      <c r="C193" s="2">
        <v>221.25201366885301</v>
      </c>
      <c r="D193" s="2"/>
      <c r="E193" s="3">
        <f t="shared" si="245"/>
        <v>90.939067790664964</v>
      </c>
      <c r="F193" s="3">
        <f t="shared" si="246"/>
        <v>87.864800454531206</v>
      </c>
      <c r="G193" s="3"/>
      <c r="H193" s="5" t="s">
        <v>24</v>
      </c>
      <c r="I193" s="6">
        <f t="shared" si="349"/>
        <v>-3.9659753939836784E-2</v>
      </c>
      <c r="J193" s="6">
        <f t="shared" ref="J193" si="375">+AVERAGE(B193:B193)/AVERAGE(B181:B181)-1</f>
        <v>-3.9659753939836673E-2</v>
      </c>
      <c r="K193" s="6">
        <f t="shared" si="351"/>
        <v>-4.620971198925683E-2</v>
      </c>
      <c r="L193" s="6">
        <f t="shared" ref="L193" si="376">+F193/F192-1</f>
        <v>-4.620971198925683E-2</v>
      </c>
    </row>
    <row r="194" spans="1:12" x14ac:dyDescent="0.2">
      <c r="A194" s="1">
        <v>41671</v>
      </c>
      <c r="B194" s="13">
        <v>203.605321649731</v>
      </c>
      <c r="C194" s="2">
        <v>222.12876939336601</v>
      </c>
      <c r="D194" s="2"/>
      <c r="E194" s="3">
        <f t="shared" ref="E194:E255" si="377">+B194/AVERAGE(B$73:B$84)*100</f>
        <v>80.587010341182548</v>
      </c>
      <c r="F194" s="3">
        <f t="shared" ref="F194:F257" si="378">+C194/AVERAGE(C$73:C$84)*100</f>
        <v>88.212982446207917</v>
      </c>
      <c r="G194" s="3"/>
      <c r="H194" s="5" t="s">
        <v>0</v>
      </c>
      <c r="I194" s="6">
        <f t="shared" si="349"/>
        <v>-6.5728604036862981E-2</v>
      </c>
      <c r="J194" s="6">
        <f t="shared" ref="J194" si="379">+AVERAGE(B193:B194)/AVERAGE(B181:B182)-1</f>
        <v>-5.2086358604965244E-2</v>
      </c>
      <c r="K194" s="6">
        <f t="shared" si="351"/>
        <v>3.9627016720635844E-3</v>
      </c>
      <c r="L194" s="6">
        <f t="shared" ref="L194" si="380">+F194/F192-1</f>
        <v>-4.2430125620158576E-2</v>
      </c>
    </row>
    <row r="195" spans="1:12" x14ac:dyDescent="0.2">
      <c r="A195" s="1">
        <v>41699</v>
      </c>
      <c r="B195" s="13">
        <v>218.843123504261</v>
      </c>
      <c r="C195" s="2">
        <v>222.440916241731</v>
      </c>
      <c r="D195" s="2"/>
      <c r="E195" s="3">
        <f t="shared" si="377"/>
        <v>86.618134113774374</v>
      </c>
      <c r="F195" s="3">
        <f t="shared" si="378"/>
        <v>88.336943896724478</v>
      </c>
      <c r="G195" s="3"/>
      <c r="H195" s="5" t="s">
        <v>1</v>
      </c>
      <c r="I195" s="6">
        <f t="shared" si="349"/>
        <v>-7.9280664642352727E-3</v>
      </c>
      <c r="J195" s="6">
        <f t="shared" ref="J195" si="381">+AVERAGE(B193:B195)/AVERAGE(B181:B183)-1</f>
        <v>-3.7714280198820282E-2</v>
      </c>
      <c r="K195" s="6">
        <f t="shared" si="351"/>
        <v>1.405251779035499E-3</v>
      </c>
      <c r="L195" s="6">
        <f t="shared" ref="L195" si="382">+F195/F192-1</f>
        <v>-4.1084498850635476E-2</v>
      </c>
    </row>
    <row r="196" spans="1:12" x14ac:dyDescent="0.2">
      <c r="A196" s="1">
        <v>41730</v>
      </c>
      <c r="B196" s="13">
        <v>217.98326370122399</v>
      </c>
      <c r="C196" s="2">
        <v>225.514475813394</v>
      </c>
      <c r="D196" s="2"/>
      <c r="E196" s="3">
        <f t="shared" si="377"/>
        <v>86.277801502240209</v>
      </c>
      <c r="F196" s="3">
        <f t="shared" si="378"/>
        <v>89.557532554748974</v>
      </c>
      <c r="G196" s="3"/>
      <c r="H196" s="5" t="s">
        <v>2</v>
      </c>
      <c r="I196" s="6">
        <f t="shared" si="349"/>
        <v>-7.3776800927670139E-2</v>
      </c>
      <c r="J196" s="6">
        <f t="shared" ref="J196" si="383">+AVERAGE(B193:B196)/AVERAGE(B181:B184)-1</f>
        <v>-4.7009023127325467E-2</v>
      </c>
      <c r="K196" s="6">
        <f t="shared" si="351"/>
        <v>1.3817420030417749E-2</v>
      </c>
      <c r="L196" s="6">
        <f t="shared" ref="L196" si="384">+F196/F192-1</f>
        <v>-2.7834760597576169E-2</v>
      </c>
    </row>
    <row r="197" spans="1:12" x14ac:dyDescent="0.2">
      <c r="A197" s="1">
        <v>41760</v>
      </c>
      <c r="B197" s="13">
        <v>222.10070806517101</v>
      </c>
      <c r="C197" s="2">
        <v>222.54818738443299</v>
      </c>
      <c r="D197" s="2"/>
      <c r="E197" s="3">
        <f t="shared" si="377"/>
        <v>87.907486467486194</v>
      </c>
      <c r="F197" s="3">
        <f t="shared" si="378"/>
        <v>88.379543995099823</v>
      </c>
      <c r="G197" s="3"/>
      <c r="H197" s="5" t="s">
        <v>1</v>
      </c>
      <c r="I197" s="6">
        <f t="shared" si="349"/>
        <v>-7.2307069948075231E-2</v>
      </c>
      <c r="J197" s="6">
        <f t="shared" ref="J197" si="385">+AVERAGE(B193:B197)/AVERAGE(B181:B185)-1</f>
        <v>-5.2264124010821922E-2</v>
      </c>
      <c r="K197" s="6">
        <f t="shared" si="351"/>
        <v>-1.3153428037211867E-2</v>
      </c>
      <c r="L197" s="6">
        <f t="shared" ref="L197" si="386">+F197/F192-1</f>
        <v>-4.0622066114334832E-2</v>
      </c>
    </row>
    <row r="198" spans="1:12" x14ac:dyDescent="0.2">
      <c r="A198" s="1">
        <v>41791</v>
      </c>
      <c r="B198" s="13">
        <v>224.60881297607401</v>
      </c>
      <c r="C198" s="2">
        <v>230.834896902439</v>
      </c>
      <c r="D198" s="2"/>
      <c r="E198" s="3">
        <f t="shared" si="377"/>
        <v>88.900194687261632</v>
      </c>
      <c r="F198" s="3">
        <f t="shared" si="378"/>
        <v>91.670407052798481</v>
      </c>
      <c r="G198" s="3"/>
      <c r="H198" s="5" t="s">
        <v>3</v>
      </c>
      <c r="I198" s="6">
        <f t="shared" si="349"/>
        <v>7.9451331291424676E-3</v>
      </c>
      <c r="J198" s="6">
        <f t="shared" ref="J198" si="387">+AVERAGE(B193:B198)/AVERAGE(B181:B186)-1</f>
        <v>-4.2508958137588815E-2</v>
      </c>
      <c r="K198" s="6">
        <f t="shared" si="351"/>
        <v>3.7235574081272871E-2</v>
      </c>
      <c r="L198" s="6">
        <f t="shared" ref="L198" si="388">+F198/F192-1</f>
        <v>-4.8990779851965094E-3</v>
      </c>
    </row>
    <row r="199" spans="1:12" x14ac:dyDescent="0.2">
      <c r="A199" s="1">
        <v>41821</v>
      </c>
      <c r="B199" s="13">
        <v>234.15331132732101</v>
      </c>
      <c r="C199" s="2">
        <v>218.81390256426999</v>
      </c>
      <c r="D199" s="2"/>
      <c r="E199" s="3">
        <f t="shared" si="377"/>
        <v>92.677908261254345</v>
      </c>
      <c r="F199" s="3">
        <f t="shared" si="378"/>
        <v>86.896564540480753</v>
      </c>
      <c r="G199" s="3"/>
      <c r="H199" s="5" t="s">
        <v>3</v>
      </c>
      <c r="I199" s="6">
        <f t="shared" si="349"/>
        <v>-8.8533186356912208E-2</v>
      </c>
      <c r="J199" s="6">
        <f t="shared" ref="J199" si="389">+AVERAGE(B193:B199)/AVERAGE(B181:B187)-1</f>
        <v>-4.9752576578163898E-2</v>
      </c>
      <c r="K199" s="6">
        <f t="shared" si="351"/>
        <v>-5.2076157025987557E-2</v>
      </c>
      <c r="L199" s="6">
        <f t="shared" ref="L199" si="390">+F199/F192-1</f>
        <v>-5.6720109856744361E-2</v>
      </c>
    </row>
    <row r="200" spans="1:12" x14ac:dyDescent="0.2">
      <c r="A200" s="1">
        <v>41852</v>
      </c>
      <c r="B200" s="13">
        <v>213.199356318182</v>
      </c>
      <c r="C200" s="2">
        <v>219.058232529099</v>
      </c>
      <c r="D200" s="2"/>
      <c r="E200" s="3">
        <f t="shared" si="377"/>
        <v>84.384330395371549</v>
      </c>
      <c r="F200" s="3">
        <f t="shared" si="378"/>
        <v>86.993594182149451</v>
      </c>
      <c r="G200" s="3"/>
      <c r="H200" s="5" t="s">
        <v>2</v>
      </c>
      <c r="I200" s="6">
        <f t="shared" si="349"/>
        <v>-0.10413166051942424</v>
      </c>
      <c r="J200" s="6">
        <f t="shared" ref="J200" si="391">+AVERAGE(B193:B200)/AVERAGE(B181:B188)-1</f>
        <v>-5.6672083829194198E-2</v>
      </c>
      <c r="K200" s="6">
        <f t="shared" si="351"/>
        <v>1.1166107910227652E-3</v>
      </c>
      <c r="L200" s="6">
        <f t="shared" ref="L200" si="392">+F200/F192-1</f>
        <v>-5.5666833352455813E-2</v>
      </c>
    </row>
    <row r="201" spans="1:12" x14ac:dyDescent="0.2">
      <c r="A201" s="1">
        <v>41883</v>
      </c>
      <c r="B201" s="13">
        <v>230.53887574727</v>
      </c>
      <c r="C201" s="2">
        <v>221.51137980697999</v>
      </c>
      <c r="D201" s="2"/>
      <c r="E201" s="3">
        <f t="shared" si="377"/>
        <v>91.247314232046207</v>
      </c>
      <c r="F201" s="3">
        <f t="shared" si="378"/>
        <v>87.96780134294481</v>
      </c>
      <c r="G201" s="3"/>
      <c r="H201" s="5" t="s">
        <v>4</v>
      </c>
      <c r="I201" s="6">
        <f t="shared" si="349"/>
        <v>-3.8096445166278525E-2</v>
      </c>
      <c r="J201" s="6">
        <f t="shared" ref="J201" si="393">+AVERAGE(B193:B201)/AVERAGE(B181:B189)-1</f>
        <v>-5.4562039266379259E-2</v>
      </c>
      <c r="K201" s="6">
        <f t="shared" si="351"/>
        <v>1.1198608011936395E-2</v>
      </c>
      <c r="L201" s="6">
        <f t="shared" ref="L201" si="394">+F201/F192-1</f>
        <v>-4.5091616386499389E-2</v>
      </c>
    </row>
    <row r="202" spans="1:12" x14ac:dyDescent="0.2">
      <c r="A202" s="1">
        <v>41913</v>
      </c>
      <c r="B202" s="13">
        <v>231.183064569359</v>
      </c>
      <c r="C202" s="2">
        <v>216.76422212664599</v>
      </c>
      <c r="D202" s="2"/>
      <c r="E202" s="3">
        <f t="shared" si="377"/>
        <v>91.502284243864807</v>
      </c>
      <c r="F202" s="3">
        <f t="shared" si="378"/>
        <v>86.082584320997029</v>
      </c>
      <c r="G202" s="3"/>
      <c r="H202" s="5" t="s">
        <v>5</v>
      </c>
      <c r="I202" s="6">
        <f t="shared" si="349"/>
        <v>-9.2644563552159331E-2</v>
      </c>
      <c r="J202" s="6">
        <f t="shared" ref="J202" si="395">+AVERAGE(B193:B202)/AVERAGE(B181:B190)-1</f>
        <v>-5.8665288621559619E-2</v>
      </c>
      <c r="K202" s="6">
        <f t="shared" si="351"/>
        <v>-2.1430762087575772E-2</v>
      </c>
      <c r="L202" s="6">
        <f t="shared" ref="L202" si="396">+F202/F192-1</f>
        <v>-6.5556030771151907E-2</v>
      </c>
    </row>
    <row r="203" spans="1:12" x14ac:dyDescent="0.2">
      <c r="A203" s="1">
        <v>41944</v>
      </c>
      <c r="B203" s="13">
        <v>222.21794513077501</v>
      </c>
      <c r="C203" s="2">
        <v>237.795359648523</v>
      </c>
      <c r="D203" s="2"/>
      <c r="E203" s="3">
        <f t="shared" si="377"/>
        <v>87.953888911890147</v>
      </c>
      <c r="F203" s="3">
        <f t="shared" si="378"/>
        <v>94.434583794580433</v>
      </c>
      <c r="G203" s="3"/>
      <c r="H203" s="5" t="s">
        <v>6</v>
      </c>
      <c r="I203" s="6">
        <f t="shared" si="349"/>
        <v>-1.1285052239923266E-3</v>
      </c>
      <c r="J203" s="6">
        <f t="shared" ref="J203" si="397">+AVERAGE(B193:B203)/AVERAGE(B181:B191)-1</f>
        <v>-5.3717741044993939E-2</v>
      </c>
      <c r="K203" s="6">
        <f t="shared" si="351"/>
        <v>9.7023103331090432E-2</v>
      </c>
      <c r="L203" s="6">
        <f t="shared" ref="L203" si="398">+F203/F192-1</f>
        <v>2.5106623012453033E-2</v>
      </c>
    </row>
    <row r="204" spans="1:12" x14ac:dyDescent="0.2">
      <c r="A204" s="1">
        <v>41974</v>
      </c>
      <c r="B204" s="13">
        <v>225.90120050648599</v>
      </c>
      <c r="C204" s="2">
        <v>213.24246779550299</v>
      </c>
      <c r="D204" s="2"/>
      <c r="E204" s="3">
        <f t="shared" si="377"/>
        <v>89.411721824343545</v>
      </c>
      <c r="F204" s="3">
        <f t="shared" si="378"/>
        <v>84.684006127630198</v>
      </c>
      <c r="G204" s="3"/>
      <c r="H204" s="5" t="s">
        <v>7</v>
      </c>
      <c r="I204" s="6">
        <f t="shared" si="349"/>
        <v>-3.641112772584576E-2</v>
      </c>
      <c r="J204" s="6">
        <f t="shared" ref="J204" si="399">+AVERAGE(B193:B204)/AVERAGE(B181:B192)-1</f>
        <v>-5.227979646035108E-2</v>
      </c>
      <c r="K204" s="6">
        <f t="shared" si="351"/>
        <v>-0.1032521908304298</v>
      </c>
      <c r="L204" s="6">
        <f t="shared" ref="L204" si="400">+F204/F192-1</f>
        <v>-8.0737881648366261E-2</v>
      </c>
    </row>
    <row r="205" spans="1:12" x14ac:dyDescent="0.2">
      <c r="A205" s="1">
        <v>42005</v>
      </c>
      <c r="B205" s="13">
        <v>229.0052929812</v>
      </c>
      <c r="C205" s="2">
        <v>229.02881687946501</v>
      </c>
      <c r="D205" s="2"/>
      <c r="E205" s="3">
        <f t="shared" si="377"/>
        <v>90.640321992221786</v>
      </c>
      <c r="F205" s="3">
        <f t="shared" si="378"/>
        <v>90.953166752056916</v>
      </c>
      <c r="G205" s="3"/>
      <c r="H205" s="5" t="s">
        <v>25</v>
      </c>
      <c r="I205" s="6">
        <f t="shared" si="349"/>
        <v>-3.2851205285154839E-3</v>
      </c>
      <c r="J205" s="6">
        <f>+AVERAGE(B205:B205)/AVERAGE(B193:B193)-1</f>
        <v>-3.2851205285154839E-3</v>
      </c>
      <c r="K205" s="6">
        <f t="shared" si="351"/>
        <v>7.4030043110835386E-2</v>
      </c>
      <c r="L205" s="6">
        <f t="shared" ref="L205" si="401">+F205/F204-1</f>
        <v>7.4030043110835386E-2</v>
      </c>
    </row>
    <row r="206" spans="1:12" x14ac:dyDescent="0.2">
      <c r="A206" s="1">
        <v>42036</v>
      </c>
      <c r="B206" s="13">
        <v>211.28502899901301</v>
      </c>
      <c r="C206" s="2">
        <v>230.92640934980901</v>
      </c>
      <c r="D206" s="2"/>
      <c r="E206" s="3">
        <f t="shared" si="377"/>
        <v>83.626639416489994</v>
      </c>
      <c r="F206" s="3">
        <f t="shared" si="378"/>
        <v>91.706748972557477</v>
      </c>
      <c r="G206" s="3"/>
      <c r="H206" s="5" t="s">
        <v>0</v>
      </c>
      <c r="I206" s="6">
        <f t="shared" si="349"/>
        <v>3.7718598350261701E-2</v>
      </c>
      <c r="J206" s="6">
        <f>+AVERAGE(B205:B206)/AVERAGE(B193:B194)-1</f>
        <v>1.5979396874902019E-2</v>
      </c>
      <c r="K206" s="6">
        <f t="shared" si="351"/>
        <v>8.2853873857395843E-3</v>
      </c>
      <c r="L206" s="6">
        <f t="shared" ref="L206" si="402">+F206/F204-1</f>
        <v>8.2928798081931321E-2</v>
      </c>
    </row>
    <row r="207" spans="1:12" x14ac:dyDescent="0.2">
      <c r="A207" s="1">
        <v>42064</v>
      </c>
      <c r="B207" s="13">
        <v>239.42253842620201</v>
      </c>
      <c r="C207" s="2">
        <v>232.91574020901101</v>
      </c>
      <c r="D207" s="2"/>
      <c r="E207" s="3">
        <f t="shared" si="377"/>
        <v>94.76346896893601</v>
      </c>
      <c r="F207" s="3">
        <f t="shared" si="378"/>
        <v>92.496762839926987</v>
      </c>
      <c r="G207" s="3"/>
      <c r="H207" s="5" t="s">
        <v>1</v>
      </c>
      <c r="I207" s="6">
        <f t="shared" si="349"/>
        <v>9.4037292981428156E-2</v>
      </c>
      <c r="J207" s="6">
        <f>+AVERAGE(B205:B207)/AVERAGE(B193:B195)-1</f>
        <v>4.2171071887785461E-2</v>
      </c>
      <c r="K207" s="6">
        <f t="shared" si="351"/>
        <v>8.6145662802408207E-3</v>
      </c>
      <c r="L207" s="6">
        <f t="shared" ref="L207" si="403">+F207/F204-1</f>
        <v>9.22577599897898E-2</v>
      </c>
    </row>
    <row r="208" spans="1:12" x14ac:dyDescent="0.2">
      <c r="A208" s="1">
        <v>42095</v>
      </c>
      <c r="B208" s="13">
        <v>227.089185066943</v>
      </c>
      <c r="C208" s="2">
        <v>234.83489688038199</v>
      </c>
      <c r="D208" s="2"/>
      <c r="E208" s="3">
        <f t="shared" si="377"/>
        <v>89.88192625359423</v>
      </c>
      <c r="F208" s="3">
        <f t="shared" si="378"/>
        <v>93.258908752973355</v>
      </c>
      <c r="G208" s="3"/>
      <c r="H208" s="5" t="s">
        <v>2</v>
      </c>
      <c r="I208" s="6">
        <f t="shared" si="349"/>
        <v>4.1773488528917158E-2</v>
      </c>
      <c r="J208" s="6">
        <f>+AVERAGE(B205:B208)/AVERAGE(B193:B196)-1</f>
        <v>4.2071477155893211E-2</v>
      </c>
      <c r="K208" s="6">
        <f t="shared" si="351"/>
        <v>8.239703635524176E-3</v>
      </c>
      <c r="L208" s="6">
        <f t="shared" ref="L208" si="404">+F208/F204-1</f>
        <v>0.10125764022570705</v>
      </c>
    </row>
    <row r="209" spans="1:12" x14ac:dyDescent="0.2">
      <c r="A209" s="1">
        <v>42125</v>
      </c>
      <c r="B209" s="13">
        <v>226.41667124759601</v>
      </c>
      <c r="C209" s="2">
        <v>235.94826924313301</v>
      </c>
      <c r="D209" s="2"/>
      <c r="E209" s="3">
        <f t="shared" si="377"/>
        <v>89.615745204517623</v>
      </c>
      <c r="F209" s="3">
        <f t="shared" si="378"/>
        <v>93.701057228200909</v>
      </c>
      <c r="G209" s="3"/>
      <c r="H209" s="5" t="s">
        <v>1</v>
      </c>
      <c r="I209" s="6">
        <f t="shared" si="349"/>
        <v>1.9432460256536332E-2</v>
      </c>
      <c r="J209" s="6">
        <f>+AVERAGE(B205:B209)/AVERAGE(B193:B197)-1</f>
        <v>3.7468184827411877E-2</v>
      </c>
      <c r="K209" s="6">
        <f t="shared" si="351"/>
        <v>4.7410856629122033E-3</v>
      </c>
      <c r="L209" s="6">
        <f t="shared" ref="L209" si="405">+F209/F204-1</f>
        <v>0.10647879703495366</v>
      </c>
    </row>
    <row r="210" spans="1:12" x14ac:dyDescent="0.2">
      <c r="A210" s="1">
        <v>42156</v>
      </c>
      <c r="B210" s="13">
        <v>240.82195634031399</v>
      </c>
      <c r="C210" s="2">
        <v>238.24304058532999</v>
      </c>
      <c r="D210" s="2"/>
      <c r="E210" s="3">
        <f t="shared" si="377"/>
        <v>95.317358744519524</v>
      </c>
      <c r="F210" s="3">
        <f t="shared" si="378"/>
        <v>94.612369277874237</v>
      </c>
      <c r="G210" s="3"/>
      <c r="H210" s="5" t="s">
        <v>3</v>
      </c>
      <c r="I210" s="6">
        <f t="shared" si="349"/>
        <v>7.2183914555334461E-2</v>
      </c>
      <c r="J210" s="6">
        <f>+AVERAGE(B205:B210)/AVERAGE(B193:B198)-1</f>
        <v>4.3389250264981527E-2</v>
      </c>
      <c r="K210" s="6">
        <f t="shared" si="351"/>
        <v>9.7257392459713099E-3</v>
      </c>
      <c r="L210" s="6">
        <f t="shared" ref="L210" si="406">+F210/F204-1</f>
        <v>0.11724012129611183</v>
      </c>
    </row>
    <row r="211" spans="1:12" x14ac:dyDescent="0.2">
      <c r="A211" s="1">
        <v>42186</v>
      </c>
      <c r="B211" s="13">
        <v>231.64210918748401</v>
      </c>
      <c r="C211" s="2">
        <v>217.59689815637699</v>
      </c>
      <c r="D211" s="2"/>
      <c r="E211" s="3">
        <f t="shared" si="377"/>
        <v>91.683974157901261</v>
      </c>
      <c r="F211" s="3">
        <f t="shared" si="378"/>
        <v>86.413261145051109</v>
      </c>
      <c r="G211" s="3"/>
      <c r="H211" s="5" t="s">
        <v>3</v>
      </c>
      <c r="I211" s="6">
        <f t="shared" si="349"/>
        <v>-1.0724606564826988E-2</v>
      </c>
      <c r="J211" s="6">
        <f>+AVERAGE(B205:B211)/AVERAGE(B193:B199)-1</f>
        <v>3.5220009432827881E-2</v>
      </c>
      <c r="K211" s="6">
        <f t="shared" si="351"/>
        <v>-8.6660002232293198E-2</v>
      </c>
      <c r="L211" s="6">
        <f t="shared" ref="L211" si="407">+F211/F204-1</f>
        <v>2.0420089890583304E-2</v>
      </c>
    </row>
    <row r="212" spans="1:12" x14ac:dyDescent="0.2">
      <c r="A212" s="1">
        <v>42217</v>
      </c>
      <c r="B212" s="13">
        <v>223.805452565628</v>
      </c>
      <c r="C212" s="2">
        <v>228.99088206225699</v>
      </c>
      <c r="D212" s="2"/>
      <c r="E212" s="3">
        <f t="shared" si="377"/>
        <v>88.582224541983791</v>
      </c>
      <c r="F212" s="3">
        <f t="shared" si="378"/>
        <v>90.938101871566147</v>
      </c>
      <c r="G212" s="3"/>
      <c r="H212" s="5" t="s">
        <v>2</v>
      </c>
      <c r="I212" s="6">
        <f t="shared" si="349"/>
        <v>4.9747318334382395E-2</v>
      </c>
      <c r="J212" s="6">
        <f>+AVERAGE(B205:B212)/AVERAGE(B193:B200)-1</f>
        <v>3.6975546300991535E-2</v>
      </c>
      <c r="K212" s="6">
        <f t="shared" si="351"/>
        <v>5.2362804812096542E-2</v>
      </c>
      <c r="L212" s="6">
        <f t="shared" ref="L212" si="408">+F212/F204-1</f>
        <v>7.3852147883865848E-2</v>
      </c>
    </row>
    <row r="213" spans="1:12" x14ac:dyDescent="0.2">
      <c r="A213" s="1">
        <v>42248</v>
      </c>
      <c r="B213" s="13">
        <v>240.56241038225599</v>
      </c>
      <c r="C213" s="2">
        <v>233.338910733798</v>
      </c>
      <c r="D213" s="2"/>
      <c r="E213" s="3">
        <f t="shared" si="377"/>
        <v>95.21463042368508</v>
      </c>
      <c r="F213" s="3">
        <f t="shared" si="378"/>
        <v>92.66481461537569</v>
      </c>
      <c r="G213" s="3"/>
      <c r="H213" s="5" t="s">
        <v>4</v>
      </c>
      <c r="I213" s="6">
        <f t="shared" si="349"/>
        <v>4.3478717428874658E-2</v>
      </c>
      <c r="J213" s="6">
        <f>+AVERAGE(B205:B213)/AVERAGE(B193:B201)-1</f>
        <v>3.7727119957489119E-2</v>
      </c>
      <c r="K213" s="6">
        <f t="shared" si="351"/>
        <v>1.8987780790149067E-2</v>
      </c>
      <c r="L213" s="6">
        <f t="shared" ref="L213" si="409">+F213/F204-1</f>
        <v>9.4242217068915446E-2</v>
      </c>
    </row>
    <row r="214" spans="1:12" x14ac:dyDescent="0.2">
      <c r="A214" s="1">
        <v>42278</v>
      </c>
      <c r="B214" s="13">
        <v>227.03119572555599</v>
      </c>
      <c r="C214" s="2">
        <v>220.54491078964401</v>
      </c>
      <c r="D214" s="2"/>
      <c r="E214" s="3">
        <f t="shared" si="377"/>
        <v>89.858974065428569</v>
      </c>
      <c r="F214" s="3">
        <f t="shared" si="378"/>
        <v>87.583991921527243</v>
      </c>
      <c r="G214" s="3"/>
      <c r="H214" s="5" t="s">
        <v>5</v>
      </c>
      <c r="I214" s="6">
        <f t="shared" si="349"/>
        <v>-1.795922573972708E-2</v>
      </c>
      <c r="J214" s="6">
        <f>+AVERAGE(B205:B214)/AVERAGE(B193:B202)-1</f>
        <v>3.1943706069248234E-2</v>
      </c>
      <c r="K214" s="6">
        <f t="shared" si="351"/>
        <v>-5.4830117719842697E-2</v>
      </c>
      <c r="L214" s="6">
        <f t="shared" ref="L214" si="410">+F214/F204-1</f>
        <v>3.4244787493005191E-2</v>
      </c>
    </row>
    <row r="215" spans="1:12" x14ac:dyDescent="0.2">
      <c r="A215" s="1">
        <v>42309</v>
      </c>
      <c r="B215" s="13">
        <v>214.65325328532299</v>
      </c>
      <c r="C215" s="2">
        <v>219.97858217431599</v>
      </c>
      <c r="D215" s="2"/>
      <c r="E215" s="3">
        <f t="shared" si="377"/>
        <v>84.959782986574282</v>
      </c>
      <c r="F215" s="3">
        <f t="shared" si="378"/>
        <v>87.359088428210512</v>
      </c>
      <c r="G215" s="3"/>
      <c r="H215" s="5" t="s">
        <v>6</v>
      </c>
      <c r="I215" s="6">
        <f t="shared" si="349"/>
        <v>-3.4041768503440206E-2</v>
      </c>
      <c r="J215" s="6">
        <f>+AVERAGE(B205:B215)/AVERAGE(B193:B203)-1</f>
        <v>2.5954328849392638E-2</v>
      </c>
      <c r="K215" s="6">
        <f t="shared" si="351"/>
        <v>-2.5678607286847566E-3</v>
      </c>
      <c r="L215" s="6">
        <f t="shared" ref="L215" si="411">+F215/F204-1</f>
        <v>3.1588990919354965E-2</v>
      </c>
    </row>
    <row r="216" spans="1:12" x14ac:dyDescent="0.2">
      <c r="A216" s="1">
        <v>42339</v>
      </c>
      <c r="B216" s="13">
        <v>215.09513605051001</v>
      </c>
      <c r="C216" s="2">
        <v>201.25179813381899</v>
      </c>
      <c r="D216" s="2"/>
      <c r="E216" s="3">
        <f t="shared" si="377"/>
        <v>85.1346802371922</v>
      </c>
      <c r="F216" s="3">
        <f t="shared" si="378"/>
        <v>79.922206315417313</v>
      </c>
      <c r="G216" s="3"/>
      <c r="H216" s="5" t="s">
        <v>7</v>
      </c>
      <c r="I216" s="6">
        <f t="shared" si="349"/>
        <v>-4.7835356482161639E-2</v>
      </c>
      <c r="J216" s="6">
        <f>+AVERAGE(B205:B216)/AVERAGE(B193:B204)-1</f>
        <v>1.9720751474720855E-2</v>
      </c>
      <c r="K216" s="6">
        <f t="shared" si="351"/>
        <v>-8.5130033366873303E-2</v>
      </c>
      <c r="L216" s="6">
        <f t="shared" ref="L216" si="412">+F216/F204-1</f>
        <v>-5.6230214298508829E-2</v>
      </c>
    </row>
    <row r="217" spans="1:12" x14ac:dyDescent="0.2">
      <c r="A217" s="1">
        <v>42370</v>
      </c>
      <c r="B217" s="13">
        <v>214.97654700000001</v>
      </c>
      <c r="C217" s="2">
        <v>223.81540561360299</v>
      </c>
      <c r="D217" s="2"/>
      <c r="E217" s="3">
        <f t="shared" si="377"/>
        <v>85.087742677002893</v>
      </c>
      <c r="F217" s="3">
        <f t="shared" si="378"/>
        <v>88.882788575757147</v>
      </c>
      <c r="G217" s="3"/>
      <c r="H217" s="5" t="s">
        <v>26</v>
      </c>
      <c r="I217" s="6">
        <f t="shared" si="349"/>
        <v>-6.1259483562904671E-2</v>
      </c>
      <c r="J217" s="6">
        <f>+AVERAGE(B217:B217)/AVERAGE(B205:B205)-1</f>
        <v>-6.1259483562904671E-2</v>
      </c>
      <c r="K217" s="6">
        <f t="shared" si="351"/>
        <v>0.11211630250767124</v>
      </c>
      <c r="L217" s="6">
        <f t="shared" ref="L217" si="413">+F217/F216-1</f>
        <v>0.11211630250767124</v>
      </c>
    </row>
    <row r="218" spans="1:12" x14ac:dyDescent="0.2">
      <c r="A218" s="1">
        <v>42401</v>
      </c>
      <c r="B218" s="13">
        <v>206.32303899999999</v>
      </c>
      <c r="C218" s="2">
        <v>221.50113724305501</v>
      </c>
      <c r="D218" s="2"/>
      <c r="E218" s="3">
        <f t="shared" si="377"/>
        <v>81.662683189200308</v>
      </c>
      <c r="F218" s="3">
        <f t="shared" si="378"/>
        <v>87.963733760370133</v>
      </c>
      <c r="G218" s="3"/>
      <c r="H218" s="5" t="s">
        <v>0</v>
      </c>
      <c r="I218" s="6">
        <f t="shared" si="349"/>
        <v>-2.3484815855250307E-2</v>
      </c>
      <c r="J218" s="6">
        <f>+AVERAGE(B217:B218)/AVERAGE(B205:B206)-1</f>
        <v>-4.3132303918927528E-2</v>
      </c>
      <c r="K218" s="6">
        <f t="shared" si="351"/>
        <v>-1.0340076297265077E-2</v>
      </c>
      <c r="L218" s="6">
        <f t="shared" ref="L218" si="414">+F218/F216-1</f>
        <v>0.10061693508830949</v>
      </c>
    </row>
    <row r="219" spans="1:12" x14ac:dyDescent="0.2">
      <c r="A219" s="1">
        <v>42430</v>
      </c>
      <c r="B219" s="13">
        <v>229.15746799999999</v>
      </c>
      <c r="C219" s="2">
        <v>219.44131213303299</v>
      </c>
      <c r="D219" s="2"/>
      <c r="E219" s="3">
        <f t="shared" si="377"/>
        <v>90.70055288262455</v>
      </c>
      <c r="F219" s="3">
        <f t="shared" si="378"/>
        <v>87.145724833526188</v>
      </c>
      <c r="G219" s="3"/>
      <c r="H219" s="5" t="s">
        <v>1</v>
      </c>
      <c r="I219" s="6">
        <f t="shared" si="349"/>
        <v>-4.2874286162353448E-2</v>
      </c>
      <c r="J219" s="6">
        <f>+AVERAGE(B217:B219)/AVERAGE(B205:B207)-1</f>
        <v>-4.3041419561963723E-2</v>
      </c>
      <c r="K219" s="6">
        <f t="shared" si="351"/>
        <v>-9.2993884169623175E-3</v>
      </c>
      <c r="L219" s="6">
        <f t="shared" ref="L219" si="415">+F219/F216-1</f>
        <v>9.0381870710636747E-2</v>
      </c>
    </row>
    <row r="220" spans="1:12" x14ac:dyDescent="0.2">
      <c r="A220" s="1">
        <v>42461</v>
      </c>
      <c r="B220" s="13">
        <v>203.23484199999999</v>
      </c>
      <c r="C220" s="2">
        <v>214.12613957448099</v>
      </c>
      <c r="D220" s="2"/>
      <c r="E220" s="3">
        <f t="shared" si="377"/>
        <v>80.440374452090055</v>
      </c>
      <c r="F220" s="3">
        <f t="shared" si="378"/>
        <v>85.034934660391087</v>
      </c>
      <c r="G220" s="3"/>
      <c r="H220" s="5" t="s">
        <v>2</v>
      </c>
      <c r="I220" s="6">
        <f t="shared" si="349"/>
        <v>-0.10504394148013296</v>
      </c>
      <c r="J220" s="6">
        <f>+AVERAGE(B217:B220)/AVERAGE(B205:B208)-1</f>
        <v>-5.85686255765272E-2</v>
      </c>
      <c r="K220" s="6">
        <f t="shared" si="351"/>
        <v>-2.4221385239118987E-2</v>
      </c>
      <c r="L220" s="6">
        <f t="shared" ref="L220" si="416">+F220/F216-1</f>
        <v>6.3971311362402972E-2</v>
      </c>
    </row>
    <row r="221" spans="1:12" x14ac:dyDescent="0.2">
      <c r="A221" s="1">
        <v>42491</v>
      </c>
      <c r="B221" s="13">
        <v>222.207247</v>
      </c>
      <c r="C221" s="2">
        <v>224.082185945736</v>
      </c>
      <c r="D221" s="2"/>
      <c r="E221" s="3">
        <f t="shared" si="377"/>
        <v>87.94965459046665</v>
      </c>
      <c r="F221" s="3">
        <f t="shared" si="378"/>
        <v>88.988733829132968</v>
      </c>
      <c r="G221" s="3"/>
      <c r="H221" s="5" t="s">
        <v>1</v>
      </c>
      <c r="I221" s="6">
        <f t="shared" si="349"/>
        <v>-1.8591494276465448E-2</v>
      </c>
      <c r="J221" s="6">
        <f>+AVERAGE(B217:B221)/AVERAGE(B205:B209)-1</f>
        <v>-5.0581209854009601E-2</v>
      </c>
      <c r="K221" s="6">
        <f t="shared" si="351"/>
        <v>4.6496174596151629E-2</v>
      </c>
      <c r="L221" s="6">
        <f t="shared" ref="L221" si="417">+F221/F216-1</f>
        <v>0.11344190722080572</v>
      </c>
    </row>
    <row r="222" spans="1:12" x14ac:dyDescent="0.2">
      <c r="A222" s="1">
        <v>42522</v>
      </c>
      <c r="B222" s="13">
        <v>212.37995100000001</v>
      </c>
      <c r="C222" s="2">
        <v>210.03648450263901</v>
      </c>
      <c r="D222" s="2"/>
      <c r="E222" s="3">
        <f t="shared" si="377"/>
        <v>84.060009673717957</v>
      </c>
      <c r="F222" s="3">
        <f t="shared" si="378"/>
        <v>83.410828642747887</v>
      </c>
      <c r="G222" s="3"/>
      <c r="H222" s="5" t="s">
        <v>3</v>
      </c>
      <c r="I222" s="6">
        <f t="shared" si="349"/>
        <v>-0.11810387131031186</v>
      </c>
      <c r="J222" s="6">
        <f>+AVERAGE(B217:B222)/AVERAGE(B205:B210)-1</f>
        <v>-6.2415604386875434E-2</v>
      </c>
      <c r="K222" s="6">
        <f t="shared" si="351"/>
        <v>-6.2681026534158857E-2</v>
      </c>
      <c r="L222" s="6">
        <f t="shared" ref="L222" si="418">+F222/F216-1</f>
        <v>4.3650225490053929E-2</v>
      </c>
    </row>
    <row r="223" spans="1:12" x14ac:dyDescent="0.2">
      <c r="A223" s="1">
        <v>42552</v>
      </c>
      <c r="B223" s="13">
        <v>209.18566799999999</v>
      </c>
      <c r="C223" s="2">
        <v>212.45393029770301</v>
      </c>
      <c r="D223" s="2"/>
      <c r="E223" s="3">
        <f t="shared" si="377"/>
        <v>82.795712085286013</v>
      </c>
      <c r="F223" s="3">
        <f t="shared" si="378"/>
        <v>84.370857836926689</v>
      </c>
      <c r="G223" s="3"/>
      <c r="H223" s="5" t="s">
        <v>3</v>
      </c>
      <c r="I223" s="6">
        <f t="shared" si="349"/>
        <v>-9.6944554969962127E-2</v>
      </c>
      <c r="J223" s="6">
        <f>+AVERAGE(B217:B223)/AVERAGE(B205:B211)-1</f>
        <v>-6.7396886511539411E-2</v>
      </c>
      <c r="K223" s="6">
        <f t="shared" si="351"/>
        <v>1.150964700627366E-2</v>
      </c>
      <c r="L223" s="6">
        <f t="shared" ref="L223" si="419">+F223/F216-1</f>
        <v>5.5662271183462231E-2</v>
      </c>
    </row>
    <row r="224" spans="1:12" x14ac:dyDescent="0.2">
      <c r="A224" s="1">
        <v>42583</v>
      </c>
      <c r="B224" s="13">
        <v>233.68091799999999</v>
      </c>
      <c r="C224" s="2">
        <v>220.990117414064</v>
      </c>
      <c r="D224" s="2"/>
      <c r="E224" s="3">
        <f t="shared" si="377"/>
        <v>92.490934926542522</v>
      </c>
      <c r="F224" s="3">
        <f t="shared" si="378"/>
        <v>87.760794792457247</v>
      </c>
      <c r="G224" s="3"/>
      <c r="H224" s="5" t="s">
        <v>2</v>
      </c>
      <c r="I224" s="6">
        <f t="shared" si="349"/>
        <v>4.4125222693026656E-2</v>
      </c>
      <c r="J224" s="6">
        <f>+AVERAGE(B217:B224)/AVERAGE(B205:B212)-1</f>
        <v>-5.3754133501906831E-2</v>
      </c>
      <c r="K224" s="6">
        <f t="shared" si="351"/>
        <v>4.017900306386224E-2</v>
      </c>
      <c r="L224" s="6">
        <f t="shared" ref="L224" si="420">+F224/F216-1</f>
        <v>9.8077728811746256E-2</v>
      </c>
    </row>
    <row r="225" spans="1:12" x14ac:dyDescent="0.2">
      <c r="A225" s="1">
        <v>42614</v>
      </c>
      <c r="B225" s="13">
        <v>221.952381</v>
      </c>
      <c r="C225" s="2">
        <v>215.52931951532301</v>
      </c>
      <c r="D225" s="2"/>
      <c r="E225" s="3">
        <f t="shared" si="377"/>
        <v>87.848778597583973</v>
      </c>
      <c r="F225" s="3">
        <f t="shared" si="378"/>
        <v>85.592173093883545</v>
      </c>
      <c r="G225" s="3"/>
      <c r="H225" s="5" t="s">
        <v>4</v>
      </c>
      <c r="I225" s="6">
        <f t="shared" si="349"/>
        <v>-7.7360504297759869E-2</v>
      </c>
      <c r="J225" s="6">
        <f>+AVERAGE(B217:B225)/AVERAGE(B205:B213)-1</f>
        <v>-5.6497450662868598E-2</v>
      </c>
      <c r="K225" s="6">
        <f t="shared" si="351"/>
        <v>-2.4710597752700458E-2</v>
      </c>
      <c r="L225" s="6">
        <f t="shared" ref="L225" si="421">+F225/F216-1</f>
        <v>7.0943571753880219E-2</v>
      </c>
    </row>
    <row r="226" spans="1:12" x14ac:dyDescent="0.2">
      <c r="A226" s="1">
        <v>42644</v>
      </c>
      <c r="B226" s="13">
        <v>219.841443</v>
      </c>
      <c r="C226" s="2">
        <v>219.99740796682201</v>
      </c>
      <c r="D226" s="2"/>
      <c r="E226" s="3">
        <f t="shared" si="377"/>
        <v>87.013269088022881</v>
      </c>
      <c r="F226" s="3">
        <f t="shared" si="378"/>
        <v>87.36656462910247</v>
      </c>
      <c r="G226" s="3"/>
      <c r="H226" s="5" t="s">
        <v>5</v>
      </c>
      <c r="I226" s="6">
        <f t="shared" si="349"/>
        <v>-3.1668567408010495E-2</v>
      </c>
      <c r="J226" s="6">
        <f>+AVERAGE(B217:B226)/AVERAGE(B205:B214)-1</f>
        <v>-5.4043497584898237E-2</v>
      </c>
      <c r="K226" s="6">
        <f t="shared" si="351"/>
        <v>2.0730768609796169E-2</v>
      </c>
      <c r="L226" s="6">
        <f t="shared" ref="L226" si="422">+F226/F216-1</f>
        <v>9.3145055134058685E-2</v>
      </c>
    </row>
    <row r="227" spans="1:12" x14ac:dyDescent="0.2">
      <c r="A227" s="1">
        <v>42675</v>
      </c>
      <c r="B227" s="13">
        <v>232.88392300000001</v>
      </c>
      <c r="C227" s="2">
        <v>228.16377751501599</v>
      </c>
      <c r="D227" s="2"/>
      <c r="E227" s="3">
        <f t="shared" si="377"/>
        <v>92.175484211470533</v>
      </c>
      <c r="F227" s="3">
        <f t="shared" si="378"/>
        <v>90.609637624876243</v>
      </c>
      <c r="G227" s="3"/>
      <c r="H227" s="5" t="s">
        <v>6</v>
      </c>
      <c r="I227" s="6">
        <f t="shared" si="349"/>
        <v>8.4930786911691092E-2</v>
      </c>
      <c r="J227" s="6">
        <f>+AVERAGE(B217:B227)/AVERAGE(B205:B215)-1</f>
        <v>-4.2166734641629011E-2</v>
      </c>
      <c r="K227" s="6">
        <f t="shared" si="351"/>
        <v>3.7120298932910911E-2</v>
      </c>
      <c r="L227" s="6">
        <f t="shared" ref="L227" si="423">+F227/F216-1</f>
        <v>0.13372292635766847</v>
      </c>
    </row>
    <row r="228" spans="1:12" x14ac:dyDescent="0.2">
      <c r="A228" s="1">
        <v>42705</v>
      </c>
      <c r="B228" s="13">
        <v>238.417846</v>
      </c>
      <c r="C228" s="2">
        <v>231.77704087713499</v>
      </c>
      <c r="D228" s="2"/>
      <c r="E228" s="3">
        <f t="shared" si="377"/>
        <v>94.365811588058037</v>
      </c>
      <c r="F228" s="3">
        <f t="shared" si="378"/>
        <v>92.044556381265153</v>
      </c>
      <c r="G228" s="3"/>
      <c r="H228" s="5" t="s">
        <v>7</v>
      </c>
      <c r="I228" s="6">
        <f t="shared" si="349"/>
        <v>0.10842974126580551</v>
      </c>
      <c r="J228" s="6">
        <f>+AVERAGE(B217:B228)/AVERAGE(B205:B216)-1</f>
        <v>-3.0287531780154309E-2</v>
      </c>
      <c r="K228" s="6">
        <f t="shared" si="351"/>
        <v>1.5836270776509176E-2</v>
      </c>
      <c r="L228" s="6">
        <f t="shared" ref="L228" si="424">+F228/F216-1</f>
        <v>0.15167686960500482</v>
      </c>
    </row>
    <row r="229" spans="1:12" x14ac:dyDescent="0.2">
      <c r="A229" s="1">
        <v>42736</v>
      </c>
      <c r="B229" s="13">
        <v>233.13587100000001</v>
      </c>
      <c r="C229" s="2">
        <v>235.04380942003499</v>
      </c>
      <c r="D229" s="2"/>
      <c r="E229" s="3">
        <f t="shared" si="377"/>
        <v>92.275205259608811</v>
      </c>
      <c r="F229" s="3">
        <f t="shared" si="378"/>
        <v>93.341873234537502</v>
      </c>
      <c r="G229" s="3"/>
      <c r="H229" s="5" t="s">
        <v>27</v>
      </c>
      <c r="I229" s="6">
        <f t="shared" si="349"/>
        <v>8.4471186524360586E-2</v>
      </c>
      <c r="J229" s="6">
        <f>+AVERAGE(B229:B229)/AVERAGE(B217:B217)-1</f>
        <v>8.4471186524360808E-2</v>
      </c>
      <c r="K229" s="6">
        <f t="shared" si="351"/>
        <v>1.4094444085303914E-2</v>
      </c>
      <c r="L229" s="6">
        <f t="shared" ref="L229" si="425">+F229/F228-1</f>
        <v>1.4094444085303914E-2</v>
      </c>
    </row>
    <row r="230" spans="1:12" x14ac:dyDescent="0.2">
      <c r="A230" s="1">
        <v>42767</v>
      </c>
      <c r="B230" s="13">
        <v>199.75620599999999</v>
      </c>
      <c r="C230" s="2">
        <v>223.23823421459599</v>
      </c>
      <c r="D230" s="2"/>
      <c r="E230" s="3">
        <f t="shared" si="377"/>
        <v>79.063529912694989</v>
      </c>
      <c r="F230" s="3">
        <f t="shared" si="378"/>
        <v>88.653579137339491</v>
      </c>
      <c r="G230" s="3"/>
      <c r="H230" s="5" t="s">
        <v>0</v>
      </c>
      <c r="I230" s="6">
        <f t="shared" si="349"/>
        <v>-3.1827919130252735E-2</v>
      </c>
      <c r="J230" s="6">
        <f>+AVERAGE(B229:B230)/AVERAGE(B217:B218)-1</f>
        <v>2.7516027513969643E-2</v>
      </c>
      <c r="K230" s="6">
        <f t="shared" si="351"/>
        <v>-5.0227126741048678E-2</v>
      </c>
      <c r="L230" s="6">
        <f t="shared" ref="L230" si="426">+F230/F228-1</f>
        <v>-3.684060608516182E-2</v>
      </c>
    </row>
    <row r="231" spans="1:12" x14ac:dyDescent="0.2">
      <c r="A231" s="1">
        <v>42795</v>
      </c>
      <c r="B231" s="13">
        <v>251.85017300000001</v>
      </c>
      <c r="C231" s="2">
        <v>235.872921635317</v>
      </c>
      <c r="D231" s="2"/>
      <c r="E231" s="3">
        <f t="shared" si="377"/>
        <v>99.682328200120637</v>
      </c>
      <c r="F231" s="3">
        <f t="shared" si="378"/>
        <v>93.671134777255944</v>
      </c>
      <c r="G231" s="3"/>
      <c r="H231" s="5" t="s">
        <v>1</v>
      </c>
      <c r="I231" s="6">
        <f t="shared" si="349"/>
        <v>9.9026687622504328E-2</v>
      </c>
      <c r="J231" s="6">
        <f>+AVERAGE(B229:B231)/AVERAGE(B217:B219)-1</f>
        <v>5.270939224836213E-2</v>
      </c>
      <c r="K231" s="6">
        <f t="shared" si="351"/>
        <v>5.6597327358249183E-2</v>
      </c>
      <c r="L231" s="6">
        <f t="shared" ref="L231" si="427">+F231/F228-1</f>
        <v>1.7671641430409002E-2</v>
      </c>
    </row>
    <row r="232" spans="1:12" x14ac:dyDescent="0.2">
      <c r="A232" s="1">
        <v>42826</v>
      </c>
      <c r="B232" s="13">
        <v>206.91634400000001</v>
      </c>
      <c r="C232" s="2">
        <v>233.04196440921399</v>
      </c>
      <c r="D232" s="2"/>
      <c r="E232" s="3">
        <f t="shared" si="377"/>
        <v>81.897513378230087</v>
      </c>
      <c r="F232" s="3">
        <f t="shared" si="378"/>
        <v>92.546889679359822</v>
      </c>
      <c r="G232" s="3"/>
      <c r="H232" s="5" t="s">
        <v>2</v>
      </c>
      <c r="I232" s="6">
        <f t="shared" si="349"/>
        <v>1.811452191844154E-2</v>
      </c>
      <c r="J232" s="6">
        <f>+AVERAGE(B229:B232)/AVERAGE(B217:B220)-1</f>
        <v>4.4473536855502704E-2</v>
      </c>
      <c r="K232" s="6">
        <f t="shared" si="351"/>
        <v>-1.200204417902595E-2</v>
      </c>
      <c r="L232" s="6">
        <f t="shared" ref="L232" si="428">+F232/F228-1</f>
        <v>5.4575014302193914E-3</v>
      </c>
    </row>
    <row r="233" spans="1:12" x14ac:dyDescent="0.2">
      <c r="A233" s="1">
        <v>42856</v>
      </c>
      <c r="B233" s="13">
        <v>239.50741500000001</v>
      </c>
      <c r="C233" s="2">
        <v>233.27620384915201</v>
      </c>
      <c r="D233" s="2"/>
      <c r="E233" s="3">
        <f t="shared" si="377"/>
        <v>94.79706312686352</v>
      </c>
      <c r="F233" s="3">
        <f t="shared" si="378"/>
        <v>92.63991211702016</v>
      </c>
      <c r="G233" s="3"/>
      <c r="H233" s="5" t="s">
        <v>1</v>
      </c>
      <c r="I233" s="6">
        <f t="shared" si="349"/>
        <v>7.7856002599231422E-2</v>
      </c>
      <c r="J233" s="6">
        <f>+AVERAGE(B229:B233)/AVERAGE(B217:B221)-1</f>
        <v>5.1368073261863545E-2</v>
      </c>
      <c r="K233" s="6">
        <f t="shared" si="351"/>
        <v>1.0051384544917941E-3</v>
      </c>
      <c r="L233" s="6">
        <f t="shared" ref="L233" si="429">+F233/F228-1</f>
        <v>6.4681254292642265E-3</v>
      </c>
    </row>
    <row r="234" spans="1:12" x14ac:dyDescent="0.2">
      <c r="A234" s="1">
        <v>42887</v>
      </c>
      <c r="B234" s="13">
        <v>236.682354</v>
      </c>
      <c r="C234" s="2">
        <v>234.95661639144501</v>
      </c>
      <c r="D234" s="2"/>
      <c r="E234" s="3">
        <f t="shared" si="377"/>
        <v>93.678903649612096</v>
      </c>
      <c r="F234" s="3">
        <f t="shared" si="378"/>
        <v>93.307246665806915</v>
      </c>
      <c r="G234" s="3"/>
      <c r="H234" s="5" t="s">
        <v>3</v>
      </c>
      <c r="I234" s="6">
        <f t="shared" si="349"/>
        <v>0.11442889446753846</v>
      </c>
      <c r="J234" s="6">
        <f>+AVERAGE(B229:B234)/AVERAGE(B217:B222)-1</f>
        <v>6.1763999253410251E-2</v>
      </c>
      <c r="K234" s="6">
        <f t="shared" si="351"/>
        <v>7.203531755770598E-3</v>
      </c>
      <c r="L234" s="6">
        <f t="shared" ref="L234" si="430">+F234/F228-1</f>
        <v>1.3718250531964848E-2</v>
      </c>
    </row>
    <row r="235" spans="1:12" x14ac:dyDescent="0.2">
      <c r="A235" s="1">
        <v>42917</v>
      </c>
      <c r="B235" s="13">
        <v>233.21257499999999</v>
      </c>
      <c r="C235" s="2">
        <v>236.38992894761699</v>
      </c>
      <c r="D235" s="2"/>
      <c r="E235" s="3">
        <f t="shared" si="377"/>
        <v>92.305564711862431</v>
      </c>
      <c r="F235" s="3">
        <f t="shared" si="378"/>
        <v>93.876451527035968</v>
      </c>
      <c r="G235" s="3"/>
      <c r="H235" s="5" t="s">
        <v>3</v>
      </c>
      <c r="I235" s="6">
        <f t="shared" si="349"/>
        <v>0.11485924073918863</v>
      </c>
      <c r="J235" s="6">
        <f>+AVERAGE(B229:B235)/AVERAGE(B217:B223)-1</f>
        <v>6.9181044274883474E-2</v>
      </c>
      <c r="K235" s="6">
        <f t="shared" si="351"/>
        <v>6.1003285550558228E-3</v>
      </c>
      <c r="L235" s="6">
        <f t="shared" ref="L235" si="431">+F235/F228-1</f>
        <v>1.9902264922466273E-2</v>
      </c>
    </row>
    <row r="236" spans="1:12" x14ac:dyDescent="0.2">
      <c r="A236" s="1">
        <v>42948</v>
      </c>
      <c r="B236" s="13">
        <v>247.85490899999999</v>
      </c>
      <c r="C236" s="2">
        <v>233.770048661912</v>
      </c>
      <c r="D236" s="2"/>
      <c r="E236" s="3">
        <f t="shared" si="377"/>
        <v>98.101002237346222</v>
      </c>
      <c r="F236" s="3">
        <f t="shared" si="378"/>
        <v>92.83603044927456</v>
      </c>
      <c r="G236" s="3"/>
      <c r="H236" s="5" t="s">
        <v>2</v>
      </c>
      <c r="I236" s="6">
        <f t="shared" si="349"/>
        <v>6.0655320602600593E-2</v>
      </c>
      <c r="J236" s="6">
        <f>+AVERAGE(B229:B236)/AVERAGE(B217:B224)-1</f>
        <v>6.8030188539649483E-2</v>
      </c>
      <c r="K236" s="6">
        <f t="shared" si="351"/>
        <v>-1.1082876065695468E-2</v>
      </c>
      <c r="L236" s="6">
        <f t="shared" ref="L236" si="432">+F236/F228-1</f>
        <v>8.5988145212083644E-3</v>
      </c>
    </row>
    <row r="237" spans="1:12" x14ac:dyDescent="0.2">
      <c r="A237" s="1">
        <v>42979</v>
      </c>
      <c r="B237" s="13">
        <v>237.528524</v>
      </c>
      <c r="C237" s="2">
        <v>239.632190688836</v>
      </c>
      <c r="D237" s="2"/>
      <c r="E237" s="3">
        <f t="shared" si="377"/>
        <v>94.013817835488382</v>
      </c>
      <c r="F237" s="3">
        <f t="shared" si="378"/>
        <v>95.164036106220635</v>
      </c>
      <c r="G237" s="3"/>
      <c r="H237" s="5" t="s">
        <v>4</v>
      </c>
      <c r="I237" s="6">
        <f t="shared" si="349"/>
        <v>7.0177859457160041E-2</v>
      </c>
      <c r="J237" s="6">
        <f>+AVERAGE(B229:B237)/AVERAGE(B217:B225)-1</f>
        <v>6.8274252410923886E-2</v>
      </c>
      <c r="K237" s="6">
        <f t="shared" si="351"/>
        <v>2.5076531662112433E-2</v>
      </c>
      <c r="L237" s="6">
        <f t="shared" ref="L237" si="433">+F237/F228-1</f>
        <v>3.3890974627918569E-2</v>
      </c>
    </row>
    <row r="238" spans="1:12" x14ac:dyDescent="0.2">
      <c r="A238" s="1">
        <v>43009</v>
      </c>
      <c r="B238" s="13">
        <v>255.49357900000001</v>
      </c>
      <c r="C238" s="2">
        <v>244.64660021782501</v>
      </c>
      <c r="D238" s="2"/>
      <c r="E238" s="3">
        <f t="shared" si="377"/>
        <v>101.12438872496408</v>
      </c>
      <c r="F238" s="3">
        <f t="shared" si="378"/>
        <v>97.155385632744469</v>
      </c>
      <c r="G238" s="3"/>
      <c r="H238" s="5" t="s">
        <v>5</v>
      </c>
      <c r="I238" s="6">
        <f t="shared" si="349"/>
        <v>0.16217204323936318</v>
      </c>
      <c r="J238" s="6">
        <f>+AVERAGE(B229:B238)/AVERAGE(B217:B226)-1</f>
        <v>7.7774114598636368E-2</v>
      </c>
      <c r="K238" s="6">
        <f t="shared" si="351"/>
        <v>2.0925442089290147E-2</v>
      </c>
      <c r="L238" s="6">
        <f t="shared" ref="L238" si="434">+F238/F228-1</f>
        <v>5.5525600344134896E-2</v>
      </c>
    </row>
    <row r="239" spans="1:12" x14ac:dyDescent="0.2">
      <c r="A239" s="1">
        <v>43040</v>
      </c>
      <c r="B239" s="13">
        <v>254.86201500000001</v>
      </c>
      <c r="C239" s="2">
        <v>248.63637613799801</v>
      </c>
      <c r="D239" s="2"/>
      <c r="E239" s="3">
        <f t="shared" si="377"/>
        <v>100.87441561921847</v>
      </c>
      <c r="F239" s="3">
        <f t="shared" si="378"/>
        <v>98.739827099609386</v>
      </c>
      <c r="G239" s="3"/>
      <c r="H239" s="5" t="s">
        <v>6</v>
      </c>
      <c r="I239" s="6">
        <f t="shared" si="349"/>
        <v>9.4373590571986687E-2</v>
      </c>
      <c r="J239" s="6">
        <f>+AVERAGE(B229:B239)/AVERAGE(B217:B227)-1</f>
        <v>7.9380945358131783E-2</v>
      </c>
      <c r="K239" s="6">
        <f t="shared" si="351"/>
        <v>1.6308323584389273E-2</v>
      </c>
      <c r="L239" s="6">
        <f t="shared" ref="L239" si="435">+F239/F228-1</f>
        <v>7.2739453386153619E-2</v>
      </c>
    </row>
    <row r="240" spans="1:12" x14ac:dyDescent="0.2">
      <c r="A240" s="1">
        <v>43070</v>
      </c>
      <c r="B240" s="13">
        <v>247.71096299999999</v>
      </c>
      <c r="C240" s="2">
        <v>248.876297579832</v>
      </c>
      <c r="D240" s="2"/>
      <c r="E240" s="3">
        <f t="shared" si="377"/>
        <v>98.044028393555791</v>
      </c>
      <c r="F240" s="3">
        <f t="shared" si="378"/>
        <v>98.835106004700208</v>
      </c>
      <c r="G240" s="3"/>
      <c r="H240" s="5" t="s">
        <v>7</v>
      </c>
      <c r="I240" s="6">
        <f t="shared" si="349"/>
        <v>3.8978277657956806E-2</v>
      </c>
      <c r="J240" s="6">
        <f>+AVERAGE(B229:B240)/AVERAGE(B217:B228)-1</f>
        <v>7.5738041397707345E-2</v>
      </c>
      <c r="K240" s="6">
        <f t="shared" si="351"/>
        <v>9.6494907768773786E-4</v>
      </c>
      <c r="L240" s="6">
        <f t="shared" ref="L240" si="436">+F240/F228-1</f>
        <v>7.3774592332298106E-2</v>
      </c>
    </row>
    <row r="241" spans="1:12" x14ac:dyDescent="0.2">
      <c r="A241" s="1">
        <v>43101</v>
      </c>
      <c r="B241" s="13">
        <v>255.86326700000001</v>
      </c>
      <c r="C241" s="2">
        <v>252.07328685330401</v>
      </c>
      <c r="D241" s="2"/>
      <c r="E241" s="3">
        <f t="shared" si="377"/>
        <v>101.27071127899958</v>
      </c>
      <c r="F241" s="3">
        <f t="shared" si="378"/>
        <v>100.10471173578892</v>
      </c>
      <c r="G241" s="3"/>
      <c r="H241" s="5" t="s">
        <v>28</v>
      </c>
      <c r="I241" s="6">
        <f t="shared" si="349"/>
        <v>9.7485624595281539E-2</v>
      </c>
      <c r="J241" s="6">
        <f>+AVERAGE(B241:B241)/AVERAGE(B229:B229)-1</f>
        <v>9.7485624595281539E-2</v>
      </c>
      <c r="K241" s="6">
        <f t="shared" si="351"/>
        <v>1.2845696052861344E-2</v>
      </c>
      <c r="L241" s="6">
        <f>+F241/F240-1</f>
        <v>1.2845696052861344E-2</v>
      </c>
    </row>
    <row r="242" spans="1:12" x14ac:dyDescent="0.2">
      <c r="A242" s="1">
        <v>43132</v>
      </c>
      <c r="B242" s="13">
        <v>230.11756299999999</v>
      </c>
      <c r="C242" s="2">
        <v>255.873511245484</v>
      </c>
      <c r="D242" s="2"/>
      <c r="E242" s="3">
        <f t="shared" si="377"/>
        <v>91.080558596947782</v>
      </c>
      <c r="F242" s="3">
        <f t="shared" si="378"/>
        <v>101.61387747111684</v>
      </c>
      <c r="G242" s="3"/>
      <c r="H242" s="5" t="s">
        <v>0</v>
      </c>
      <c r="I242" s="6">
        <f t="shared" si="349"/>
        <v>0.15199205875986643</v>
      </c>
      <c r="J242" s="6">
        <f>+AVERAGE(B241:B242)/AVERAGE(B229:B230)-1</f>
        <v>0.12263738659277879</v>
      </c>
      <c r="K242" s="6">
        <f t="shared" si="351"/>
        <v>1.5075871146915887E-2</v>
      </c>
      <c r="L242" s="6">
        <f>+F242/F240-1</f>
        <v>2.8115227258262765E-2</v>
      </c>
    </row>
    <row r="243" spans="1:12" x14ac:dyDescent="0.2">
      <c r="A243" s="1">
        <v>43160</v>
      </c>
      <c r="B243" s="13">
        <v>260.62281400000001</v>
      </c>
      <c r="C243" s="2">
        <v>260.13915395422401</v>
      </c>
      <c r="D243" s="2"/>
      <c r="E243" s="3">
        <f t="shared" si="377"/>
        <v>103.15454054338488</v>
      </c>
      <c r="F243" s="3">
        <f t="shared" si="378"/>
        <v>103.30787265425099</v>
      </c>
      <c r="G243" s="3"/>
      <c r="H243" s="5" t="s">
        <v>1</v>
      </c>
      <c r="I243" s="6">
        <f t="shared" si="349"/>
        <v>3.4832777343377197E-2</v>
      </c>
      <c r="J243" s="6">
        <f>+AVERAGE(B241:B243)/AVERAGE(B229:B231)-1</f>
        <v>9.0342598255036766E-2</v>
      </c>
      <c r="K243" s="6">
        <f t="shared" si="351"/>
        <v>1.6670903869559162E-2</v>
      </c>
      <c r="L243" s="6">
        <f>+F243/F240-1</f>
        <v>4.5254837378715163E-2</v>
      </c>
    </row>
    <row r="244" spans="1:12" x14ac:dyDescent="0.2">
      <c r="A244" s="1">
        <v>43191</v>
      </c>
      <c r="B244" s="13">
        <v>248.151464</v>
      </c>
      <c r="C244" s="2">
        <v>259.53212161253799</v>
      </c>
      <c r="D244" s="2"/>
      <c r="E244" s="3">
        <f t="shared" si="377"/>
        <v>98.218378741349611</v>
      </c>
      <c r="F244" s="3">
        <f t="shared" si="378"/>
        <v>103.06680467621435</v>
      </c>
      <c r="G244" s="3"/>
      <c r="H244" s="5" t="s">
        <v>2</v>
      </c>
      <c r="I244" s="6">
        <f t="shared" si="349"/>
        <v>0.19928401595960943</v>
      </c>
      <c r="J244" s="6">
        <f>+AVERAGE(B241:B244)/AVERAGE(B229:B232)-1</f>
        <v>0.11562330548232236</v>
      </c>
      <c r="K244" s="6">
        <f t="shared" si="351"/>
        <v>-2.3334908738604776E-3</v>
      </c>
      <c r="L244" s="6">
        <f>+F244/F240-1</f>
        <v>4.2815744754833407E-2</v>
      </c>
    </row>
    <row r="245" spans="1:12" x14ac:dyDescent="0.2">
      <c r="A245" s="1">
        <v>43221</v>
      </c>
      <c r="B245" s="13">
        <v>258.49027000000001</v>
      </c>
      <c r="C245" s="2">
        <v>252.689327743707</v>
      </c>
      <c r="D245" s="2"/>
      <c r="E245" s="3">
        <f t="shared" si="377"/>
        <v>102.31047937647358</v>
      </c>
      <c r="F245" s="3">
        <f t="shared" si="378"/>
        <v>100.34935723758356</v>
      </c>
      <c r="G245" s="3"/>
      <c r="H245" s="5" t="s">
        <v>1</v>
      </c>
      <c r="I245" s="6">
        <f t="shared" ref="I245:I252" si="437">+E245/E233-1</f>
        <v>7.925790105496322E-2</v>
      </c>
      <c r="J245" s="6">
        <f>+AVERAGE(B241:B245)/AVERAGE(B229:B233)-1</f>
        <v>0.10792347721615458</v>
      </c>
      <c r="K245" s="6">
        <f t="shared" ref="K245:K252" si="438">+F245/F244-1</f>
        <v>-2.6365884216238977E-2</v>
      </c>
      <c r="L245" s="6">
        <f>+F245/F240-1</f>
        <v>1.5320985569756473E-2</v>
      </c>
    </row>
    <row r="246" spans="1:12" x14ac:dyDescent="0.2">
      <c r="A246" s="1">
        <v>43252</v>
      </c>
      <c r="B246" s="13">
        <v>252.01150200000001</v>
      </c>
      <c r="C246" s="2">
        <v>258.91269372142398</v>
      </c>
      <c r="D246" s="2"/>
      <c r="E246" s="3">
        <f t="shared" si="377"/>
        <v>99.746182237362845</v>
      </c>
      <c r="F246" s="3">
        <f t="shared" si="378"/>
        <v>102.8208141103153</v>
      </c>
      <c r="G246" s="3"/>
      <c r="H246" s="5" t="s">
        <v>3</v>
      </c>
      <c r="I246" s="6">
        <f t="shared" si="437"/>
        <v>6.4766754854905573E-2</v>
      </c>
      <c r="J246" s="6">
        <f>+AVERAGE(B241:B246)/AVERAGE(B229:B234)-1</f>
        <v>0.10045595748539871</v>
      </c>
      <c r="K246" s="6">
        <f t="shared" si="438"/>
        <v>2.4628527185086124E-2</v>
      </c>
      <c r="L246" s="6">
        <f>+F246/F240-1</f>
        <v>4.0326846064449473E-2</v>
      </c>
    </row>
    <row r="247" spans="1:12" x14ac:dyDescent="0.2">
      <c r="A247" s="1">
        <v>43282</v>
      </c>
      <c r="B247" s="13">
        <v>261.87958099999997</v>
      </c>
      <c r="C247" s="2">
        <v>256.007511747612</v>
      </c>
      <c r="D247" s="2"/>
      <c r="E247" s="3">
        <f t="shared" si="377"/>
        <v>103.65196907032529</v>
      </c>
      <c r="F247" s="3">
        <f t="shared" si="378"/>
        <v>101.66709247777395</v>
      </c>
      <c r="G247" s="3"/>
      <c r="H247" s="5" t="s">
        <v>3</v>
      </c>
      <c r="I247" s="6">
        <f t="shared" si="437"/>
        <v>0.1229222137785666</v>
      </c>
      <c r="J247" s="6">
        <f>+AVERAGE(B241:B247)/AVERAGE(B229:B235)-1</f>
        <v>0.10372842098531043</v>
      </c>
      <c r="K247" s="6">
        <f t="shared" si="438"/>
        <v>-1.122070120261387E-2</v>
      </c>
      <c r="L247" s="6">
        <f>+F247/F240-1</f>
        <v>2.8653649371702672E-2</v>
      </c>
    </row>
    <row r="248" spans="1:12" x14ac:dyDescent="0.2">
      <c r="A248" s="1">
        <v>43313</v>
      </c>
      <c r="B248" s="13">
        <v>274.578869</v>
      </c>
      <c r="C248" s="2">
        <v>259.071738373409</v>
      </c>
      <c r="D248" s="2"/>
      <c r="E248" s="3">
        <f t="shared" si="377"/>
        <v>108.67834875966487</v>
      </c>
      <c r="F248" s="3">
        <f t="shared" si="378"/>
        <v>102.88397478568405</v>
      </c>
      <c r="G248" s="3"/>
      <c r="H248" s="5" t="s">
        <v>2</v>
      </c>
      <c r="I248" s="6">
        <f t="shared" si="437"/>
        <v>0.10782098328340983</v>
      </c>
      <c r="J248" s="6">
        <f>+AVERAGE(B241:B248)/AVERAGE(B229:B236)-1</f>
        <v>0.10427704609316391</v>
      </c>
      <c r="K248" s="6">
        <f t="shared" si="438"/>
        <v>1.1969284045141082E-2</v>
      </c>
      <c r="L248" s="6">
        <f>+F248/F240-1</f>
        <v>4.0965897085103453E-2</v>
      </c>
    </row>
    <row r="249" spans="1:12" x14ac:dyDescent="0.2">
      <c r="A249" s="1">
        <v>43344</v>
      </c>
      <c r="B249" s="13">
        <v>237.40686600000001</v>
      </c>
      <c r="C249" s="2">
        <v>246.99423959655499</v>
      </c>
      <c r="D249" s="2"/>
      <c r="E249" s="3">
        <f t="shared" si="377"/>
        <v>93.965665584728669</v>
      </c>
      <c r="F249" s="3">
        <f t="shared" si="378"/>
        <v>98.08769292401297</v>
      </c>
      <c r="G249" s="3"/>
      <c r="H249" s="5" t="s">
        <v>4</v>
      </c>
      <c r="I249" s="6">
        <f t="shared" si="437"/>
        <v>-5.1218269684538686E-4</v>
      </c>
      <c r="J249" s="6">
        <f>+AVERAGE(B241:B249)/AVERAGE(B229:B237)-1</f>
        <v>9.2347453724660022E-2</v>
      </c>
      <c r="K249" s="6">
        <f t="shared" si="438"/>
        <v>-4.6618356956582785E-2</v>
      </c>
      <c r="L249" s="6">
        <f>+F249/F240-1</f>
        <v>-7.5622226848393037E-3</v>
      </c>
    </row>
    <row r="250" spans="1:12" x14ac:dyDescent="0.2">
      <c r="A250" s="1">
        <v>43374</v>
      </c>
      <c r="B250" s="13">
        <v>278.09000099999997</v>
      </c>
      <c r="C250" s="2">
        <v>256.37436310611599</v>
      </c>
      <c r="D250" s="2"/>
      <c r="E250" s="3">
        <f t="shared" si="377"/>
        <v>110.06805521969554</v>
      </c>
      <c r="F250" s="3">
        <f t="shared" si="378"/>
        <v>101.81277848025105</v>
      </c>
      <c r="G250" s="3"/>
      <c r="H250" s="5" t="s">
        <v>5</v>
      </c>
      <c r="I250" s="6">
        <f t="shared" si="437"/>
        <v>8.8442230479694128E-2</v>
      </c>
      <c r="J250" s="6">
        <f>+AVERAGE(B241:B250)/AVERAGE(B229:B238)-1</f>
        <v>9.1921413630963178E-2</v>
      </c>
      <c r="K250" s="6">
        <f t="shared" si="438"/>
        <v>3.7977094222451102E-2</v>
      </c>
      <c r="L250" s="6">
        <f>+F250/F240-1</f>
        <v>3.012768029417856E-2</v>
      </c>
    </row>
    <row r="251" spans="1:12" x14ac:dyDescent="0.2">
      <c r="A251" s="1">
        <v>43405</v>
      </c>
      <c r="B251" s="13">
        <v>257.29081500000001</v>
      </c>
      <c r="C251" s="2">
        <v>250.09657978774101</v>
      </c>
      <c r="D251" s="2"/>
      <c r="E251" s="3">
        <f t="shared" si="377"/>
        <v>101.83573494589785</v>
      </c>
      <c r="F251" s="3">
        <f t="shared" si="378"/>
        <v>99.3197110978616</v>
      </c>
      <c r="G251" s="3"/>
      <c r="H251" s="5" t="s">
        <v>6</v>
      </c>
      <c r="I251" s="6">
        <f t="shared" si="437"/>
        <v>9.5298626592117408E-3</v>
      </c>
      <c r="J251" s="6">
        <f>+AVERAGE(B241:B251)/AVERAGE(B229:B239)-1</f>
        <v>8.383512397343984E-2</v>
      </c>
      <c r="K251" s="6">
        <f t="shared" si="438"/>
        <v>-2.44867826966636E-2</v>
      </c>
      <c r="L251" s="6">
        <f>+F251/F240-1</f>
        <v>4.9031676369968302E-3</v>
      </c>
    </row>
    <row r="252" spans="1:12" x14ac:dyDescent="0.2">
      <c r="A252" s="1">
        <v>43435</v>
      </c>
      <c r="B252" s="13">
        <v>251.591409</v>
      </c>
      <c r="C252" s="2">
        <v>252.62700477145199</v>
      </c>
      <c r="D252" s="2"/>
      <c r="E252" s="3">
        <f t="shared" si="377"/>
        <v>99.579909378377849</v>
      </c>
      <c r="F252" s="3">
        <f t="shared" si="378"/>
        <v>100.32460720060033</v>
      </c>
      <c r="G252" s="3"/>
      <c r="H252" s="5" t="s">
        <v>7</v>
      </c>
      <c r="I252" s="6">
        <f t="shared" si="437"/>
        <v>1.5665217045722768E-2</v>
      </c>
      <c r="J252" s="6">
        <f>+AVERAGE(B241:B252)/AVERAGE(B229:B240)-1</f>
        <v>7.7898626023488848E-2</v>
      </c>
      <c r="K252" s="6">
        <f t="shared" si="438"/>
        <v>1.0117791238323015E-2</v>
      </c>
      <c r="L252" s="6">
        <f>+F252/F240-1</f>
        <v>1.5070568101877457E-2</v>
      </c>
    </row>
    <row r="253" spans="1:12" x14ac:dyDescent="0.2">
      <c r="A253" s="1">
        <v>43466</v>
      </c>
      <c r="B253" s="13">
        <v>255.428808</v>
      </c>
      <c r="C253" s="2">
        <v>255.924565106232</v>
      </c>
      <c r="D253" s="2"/>
      <c r="E253" s="3">
        <f t="shared" si="377"/>
        <v>101.09875235551893</v>
      </c>
      <c r="F253" s="3">
        <f t="shared" si="378"/>
        <v>101.6341522573783</v>
      </c>
      <c r="G253" s="3"/>
      <c r="H253" s="5" t="s">
        <v>29</v>
      </c>
      <c r="I253" s="6">
        <f>+E253/E241-1</f>
        <v>-1.6980123997244467E-3</v>
      </c>
      <c r="J253" s="6">
        <f>+AVERAGE(B$253:B253)/AVERAGE(B$241:B241)-1</f>
        <v>-1.6980123997244467E-3</v>
      </c>
      <c r="K253" s="6">
        <f>+F253/F252-1</f>
        <v>1.3053079332366879E-2</v>
      </c>
      <c r="L253" s="6">
        <f t="shared" ref="L253:L263" si="439">+F253/F$252-1</f>
        <v>1.3053079332366879E-2</v>
      </c>
    </row>
    <row r="254" spans="1:12" x14ac:dyDescent="0.2">
      <c r="A254" s="1">
        <v>43497</v>
      </c>
      <c r="B254" s="13">
        <v>224.19461200000001</v>
      </c>
      <c r="C254" s="2">
        <v>251.47298590481401</v>
      </c>
      <c r="D254" s="2"/>
      <c r="E254" s="3">
        <f t="shared" si="377"/>
        <v>88.736253892042015</v>
      </c>
      <c r="F254" s="3">
        <f t="shared" si="378"/>
        <v>99.866316965151114</v>
      </c>
      <c r="G254" s="3"/>
      <c r="H254" s="5" t="s">
        <v>0</v>
      </c>
      <c r="I254" s="6">
        <f>+E254/E242-1</f>
        <v>-2.573880464743139E-2</v>
      </c>
      <c r="J254" s="6">
        <f>+AVERAGE(B$253:B254)/AVERAGE(B$241:B242)-1</f>
        <v>-1.3081606531681444E-2</v>
      </c>
      <c r="K254" s="6">
        <f>+F254/F253-1</f>
        <v>-1.7394106734420545E-2</v>
      </c>
      <c r="L254" s="6">
        <f t="shared" si="439"/>
        <v>-4.5680740571737433E-3</v>
      </c>
    </row>
    <row r="255" spans="1:12" x14ac:dyDescent="0.2">
      <c r="A255" s="1">
        <v>43525</v>
      </c>
      <c r="B255" s="13">
        <v>230.75193200000001</v>
      </c>
      <c r="C255" s="2">
        <v>234.23527088805699</v>
      </c>
      <c r="E255" s="3">
        <f t="shared" si="377"/>
        <v>91.331641922024502</v>
      </c>
      <c r="F255" s="3">
        <f t="shared" si="378"/>
        <v>93.020782024590929</v>
      </c>
      <c r="G255" s="3"/>
      <c r="H255" s="5" t="s">
        <v>1</v>
      </c>
      <c r="I255" s="6">
        <f>+E255/E243-1</f>
        <v>-0.1146134582063103</v>
      </c>
      <c r="J255" s="6">
        <f>+AVERAGE(B$253:B255)/AVERAGE(B$241:B243)-1</f>
        <v>-4.8524129625062473E-2</v>
      </c>
      <c r="K255" s="6">
        <f>+F255/F254-1</f>
        <v>-6.8546985095574997E-2</v>
      </c>
      <c r="L255" s="6">
        <f t="shared" si="439"/>
        <v>-7.2801931448436275E-2</v>
      </c>
    </row>
    <row r="256" spans="1:12" x14ac:dyDescent="0.2">
      <c r="A256" s="1">
        <v>43556</v>
      </c>
      <c r="B256" s="13">
        <v>239.167529</v>
      </c>
      <c r="C256" s="2">
        <v>247.40601969523601</v>
      </c>
      <c r="E256" s="3">
        <f t="shared" ref="E256:E319" si="440">+B256/AVERAGE(B$73:B$84)*100</f>
        <v>94.662536207945635</v>
      </c>
      <c r="F256" s="3">
        <f t="shared" si="378"/>
        <v>98.251221271627955</v>
      </c>
      <c r="H256" s="5" t="s">
        <v>2</v>
      </c>
      <c r="I256" s="6">
        <f t="shared" ref="I256:I265" si="441">+E256/E244-1</f>
        <v>-3.620343339985288E-2</v>
      </c>
      <c r="J256" s="6">
        <f>+AVERAGE(B$253:B256)/AVERAGE(B$241:B244)-1</f>
        <v>-4.5450610543635417E-2</v>
      </c>
      <c r="K256" s="6">
        <f t="shared" ref="K256:K264" si="442">+F256/F255-1</f>
        <v>5.6228717209174883E-2</v>
      </c>
      <c r="L256" s="6">
        <f t="shared" si="439"/>
        <v>-2.0666773454957155E-2</v>
      </c>
    </row>
    <row r="257" spans="1:13" x14ac:dyDescent="0.2">
      <c r="A257" s="1">
        <v>43586</v>
      </c>
      <c r="B257" s="13">
        <v>262.06350400000002</v>
      </c>
      <c r="C257" s="2">
        <v>255.74370639226501</v>
      </c>
      <c r="E257" s="3">
        <f t="shared" si="440"/>
        <v>103.72476581543437</v>
      </c>
      <c r="F257" s="3">
        <f t="shared" si="378"/>
        <v>101.56232866332526</v>
      </c>
      <c r="H257" s="5" t="s">
        <v>1</v>
      </c>
      <c r="I257" s="6">
        <f t="shared" si="441"/>
        <v>1.3823475831411303E-2</v>
      </c>
      <c r="J257" s="6">
        <f>+AVERAGE(B$253:B257)/AVERAGE(B$241:B245)-1</f>
        <v>-3.3224932428196796E-2</v>
      </c>
      <c r="K257" s="6">
        <f t="shared" si="442"/>
        <v>3.3700419687846317E-2</v>
      </c>
      <c r="L257" s="6">
        <f t="shared" si="439"/>
        <v>1.2337167293863249E-2</v>
      </c>
    </row>
    <row r="258" spans="1:13" x14ac:dyDescent="0.2">
      <c r="A258" s="1">
        <v>43617</v>
      </c>
      <c r="B258" s="13">
        <v>241.273245</v>
      </c>
      <c r="C258" s="2">
        <v>256.03225810779003</v>
      </c>
      <c r="E258" s="3">
        <f t="shared" si="440"/>
        <v>95.495978849290353</v>
      </c>
      <c r="F258" s="3">
        <f t="shared" ref="F258:F319" si="443">+C258/AVERAGE(C$73:C$84)*100</f>
        <v>101.67691988663212</v>
      </c>
      <c r="H258" s="5" t="s">
        <v>3</v>
      </c>
      <c r="I258" s="6">
        <f t="shared" si="441"/>
        <v>-4.2610186101743941E-2</v>
      </c>
      <c r="J258" s="6">
        <f>+AVERAGE(B$253:B258)/AVERAGE(B$241:B246)-1</f>
        <v>-3.4796220296963609E-2</v>
      </c>
      <c r="K258" s="6">
        <f t="shared" si="442"/>
        <v>1.1282847175229094E-3</v>
      </c>
      <c r="L258" s="6">
        <f t="shared" si="439"/>
        <v>1.3479371848701405E-2</v>
      </c>
    </row>
    <row r="259" spans="1:13" x14ac:dyDescent="0.2">
      <c r="A259" s="1">
        <v>43647</v>
      </c>
      <c r="B259" s="13">
        <v>286.00538399999999</v>
      </c>
      <c r="C259" s="2">
        <v>271.56506193800601</v>
      </c>
      <c r="E259" s="3">
        <f t="shared" si="440"/>
        <v>113.20096474537476</v>
      </c>
      <c r="F259" s="3">
        <f t="shared" si="443"/>
        <v>107.84539124384189</v>
      </c>
      <c r="H259" s="5" t="s">
        <v>3</v>
      </c>
      <c r="I259" s="6">
        <f t="shared" si="441"/>
        <v>9.212555980070869E-2</v>
      </c>
      <c r="J259" s="6">
        <f>+AVERAGE(B$253:B259)/AVERAGE(B$241:B247)-1</f>
        <v>-1.598713377461114E-2</v>
      </c>
      <c r="K259" s="6">
        <f t="shared" si="442"/>
        <v>6.0667370373605811E-2</v>
      </c>
      <c r="L259" s="6">
        <f t="shared" si="439"/>
        <v>7.4964500266655909E-2</v>
      </c>
    </row>
    <row r="260" spans="1:13" x14ac:dyDescent="0.2">
      <c r="A260" s="1">
        <v>43678</v>
      </c>
      <c r="B260" s="13">
        <v>271.50459499999999</v>
      </c>
      <c r="C260" s="2">
        <v>262.18725316600899</v>
      </c>
      <c r="E260" s="3">
        <f t="shared" si="440"/>
        <v>107.46155074759798</v>
      </c>
      <c r="F260" s="3">
        <f t="shared" si="443"/>
        <v>104.12122492874785</v>
      </c>
      <c r="H260" s="5" t="s">
        <v>2</v>
      </c>
      <c r="I260" s="6">
        <f t="shared" si="441"/>
        <v>-1.1196324069642993E-2</v>
      </c>
      <c r="J260" s="6">
        <f>+AVERAGE(B$253:B260)/AVERAGE(B$241:B248)-1</f>
        <v>-1.5342844587447835E-2</v>
      </c>
      <c r="K260" s="6">
        <f t="shared" si="442"/>
        <v>-3.4532456808224476E-2</v>
      </c>
      <c r="L260" s="6">
        <f t="shared" si="439"/>
        <v>3.784333509082316E-2</v>
      </c>
    </row>
    <row r="261" spans="1:13" x14ac:dyDescent="0.2">
      <c r="A261" s="1">
        <v>43709</v>
      </c>
      <c r="B261" s="13">
        <v>275.46556299999997</v>
      </c>
      <c r="C261" s="2">
        <v>275.196885531031</v>
      </c>
      <c r="E261" s="3">
        <f t="shared" si="440"/>
        <v>109.02930234952433</v>
      </c>
      <c r="F261" s="3">
        <f t="shared" si="443"/>
        <v>109.2876807398589</v>
      </c>
      <c r="H261" s="5" t="s">
        <v>4</v>
      </c>
      <c r="I261" s="6">
        <f t="shared" si="441"/>
        <v>0.16031000973661813</v>
      </c>
      <c r="J261" s="6">
        <f>+AVERAGE(B$253:B261)/AVERAGE(B$241:B249)-1</f>
        <v>2.9541970201585332E-3</v>
      </c>
      <c r="K261" s="6">
        <f t="shared" si="442"/>
        <v>4.9619621884457787E-2</v>
      </c>
      <c r="L261" s="6">
        <f t="shared" si="439"/>
        <v>8.9340728953334336E-2</v>
      </c>
    </row>
    <row r="262" spans="1:13" x14ac:dyDescent="0.2">
      <c r="A262" s="1">
        <v>43739</v>
      </c>
      <c r="B262" s="13">
        <v>296.28241600000001</v>
      </c>
      <c r="C262" s="2">
        <v>274.15757838040099</v>
      </c>
      <c r="E262" s="3">
        <f t="shared" si="440"/>
        <v>117.26861522400731</v>
      </c>
      <c r="F262" s="3">
        <f t="shared" si="443"/>
        <v>108.87494544363805</v>
      </c>
      <c r="H262" s="5" t="s">
        <v>5</v>
      </c>
      <c r="I262" s="6">
        <f t="shared" si="441"/>
        <v>6.5419162625699689E-2</v>
      </c>
      <c r="J262" s="6">
        <f>+AVERAGE(B$253:B262)/AVERAGE(B$241:B250)-1</f>
        <v>9.7470953052867237E-3</v>
      </c>
      <c r="K262" s="6">
        <f t="shared" si="442"/>
        <v>-3.7765948863284216E-3</v>
      </c>
      <c r="L262" s="6">
        <f t="shared" si="439"/>
        <v>8.5226730326899869E-2</v>
      </c>
    </row>
    <row r="263" spans="1:13" x14ac:dyDescent="0.2">
      <c r="A263" s="1">
        <v>43770</v>
      </c>
      <c r="B263" s="13">
        <v>272</v>
      </c>
      <c r="C263" s="2">
        <v>273.22884964452498</v>
      </c>
      <c r="E263" s="3">
        <f t="shared" si="440"/>
        <v>107.65763210507231</v>
      </c>
      <c r="F263" s="3">
        <f t="shared" si="443"/>
        <v>108.50612364761921</v>
      </c>
      <c r="H263" s="5" t="s">
        <v>6</v>
      </c>
      <c r="I263" s="6">
        <f t="shared" si="441"/>
        <v>5.7169491262251348E-2</v>
      </c>
      <c r="J263" s="6">
        <f>+AVERAGE(B$253:B263)/AVERAGE(B$241:B251)-1</f>
        <v>1.4082264552929491E-2</v>
      </c>
      <c r="K263" s="6">
        <f t="shared" si="442"/>
        <v>-3.3875727286566404E-3</v>
      </c>
      <c r="L263" s="6">
        <f t="shared" si="439"/>
        <v>8.1550445850835374E-2</v>
      </c>
    </row>
    <row r="264" spans="1:13" x14ac:dyDescent="0.2">
      <c r="A264" s="1">
        <v>43800</v>
      </c>
      <c r="B264" s="13">
        <v>281</v>
      </c>
      <c r="C264" s="2">
        <v>273.94652354259802</v>
      </c>
      <c r="E264" s="3">
        <f t="shared" si="440"/>
        <v>111.2198331673725</v>
      </c>
      <c r="F264" s="3">
        <f t="shared" si="443"/>
        <v>108.79113020100584</v>
      </c>
      <c r="H264" s="5" t="s">
        <v>7</v>
      </c>
      <c r="I264" s="6">
        <f t="shared" si="441"/>
        <v>0.11689028300644422</v>
      </c>
      <c r="J264" s="6">
        <f>+AVERAGE(B$253:B264)/AVERAGE(B$241:B252)-1</f>
        <v>2.2518278147964699E-2</v>
      </c>
      <c r="K264" s="6">
        <f t="shared" si="442"/>
        <v>2.6266402651358156E-3</v>
      </c>
      <c r="L264" s="6">
        <f>+F264/F$252-1</f>
        <v>8.4391289800682667E-2</v>
      </c>
    </row>
    <row r="265" spans="1:13" x14ac:dyDescent="0.2">
      <c r="A265" s="1">
        <v>43831</v>
      </c>
      <c r="B265" s="14">
        <v>258</v>
      </c>
      <c r="C265" s="2">
        <v>261.753565004905</v>
      </c>
      <c r="E265" s="3">
        <f t="shared" si="440"/>
        <v>102.11643045260534</v>
      </c>
      <c r="F265" s="3">
        <f t="shared" si="443"/>
        <v>103.94899633248326</v>
      </c>
      <c r="H265" s="5" t="s">
        <v>33</v>
      </c>
      <c r="I265" s="6">
        <f t="shared" si="441"/>
        <v>1.0066178596425113E-2</v>
      </c>
      <c r="J265" s="6">
        <f>+AVERAGE(M$265:M265)/AVERAGE(B$253:B253)-1</f>
        <v>4477.140147762816</v>
      </c>
      <c r="K265" s="6">
        <f>+F265/F264-1</f>
        <v>-4.4508535388648962E-2</v>
      </c>
      <c r="L265" s="6">
        <f>+F265/F264-1</f>
        <v>-4.4508535388648962E-2</v>
      </c>
      <c r="M265" s="2">
        <v>1143846</v>
      </c>
    </row>
    <row r="266" spans="1:13" x14ac:dyDescent="0.2">
      <c r="A266" s="1">
        <v>43862</v>
      </c>
      <c r="B266" s="14">
        <v>226</v>
      </c>
      <c r="C266" s="2">
        <v>256.51763570364102</v>
      </c>
      <c r="E266" s="3">
        <f t="shared" si="440"/>
        <v>89.450826675538025</v>
      </c>
      <c r="F266" s="3">
        <f t="shared" si="443"/>
        <v>101.86967567175404</v>
      </c>
      <c r="H266" s="5" t="s">
        <v>0</v>
      </c>
      <c r="I266" s="6">
        <f t="shared" ref="I266:I319" si="444">+E266/E254-1</f>
        <v>8.0527715804339373E-3</v>
      </c>
      <c r="J266" s="6">
        <f>+AVERAGE(M$265:M266)/AVERAGE(B$253:B254)-1</f>
        <v>4496.3846356376844</v>
      </c>
      <c r="K266" s="6">
        <f t="shared" ref="K266:K274" si="445">+F266/F265-1</f>
        <v>-2.0003277896772254E-2</v>
      </c>
      <c r="L266" s="6">
        <f t="shared" ref="L266:L274" si="446">+F266/F265-1</f>
        <v>-2.0003277896772254E-2</v>
      </c>
      <c r="M266" s="2">
        <v>1013205</v>
      </c>
    </row>
    <row r="267" spans="1:13" x14ac:dyDescent="0.2">
      <c r="A267" s="1">
        <v>43891</v>
      </c>
      <c r="B267" s="14">
        <v>244</v>
      </c>
      <c r="C267" s="2">
        <v>240.975424676774</v>
      </c>
      <c r="E267" s="3">
        <f t="shared" si="440"/>
        <v>96.57522880013839</v>
      </c>
      <c r="F267" s="3">
        <f t="shared" si="443"/>
        <v>95.697468477555148</v>
      </c>
      <c r="H267" s="5" t="s">
        <v>1</v>
      </c>
      <c r="I267" s="6">
        <f t="shared" si="444"/>
        <v>5.7412598391592073E-2</v>
      </c>
      <c r="J267" s="6">
        <f>+AVERAGE(M$265:M267)/AVERAGE(B$253:B255)-1</f>
        <v>4577.5513121237909</v>
      </c>
      <c r="K267" s="6">
        <f t="shared" si="445"/>
        <v>-6.0589249484675589E-2</v>
      </c>
      <c r="L267" s="6">
        <f t="shared" si="446"/>
        <v>-6.0589249484675589E-2</v>
      </c>
      <c r="M267" s="2">
        <v>1095439</v>
      </c>
    </row>
    <row r="268" spans="1:13" x14ac:dyDescent="0.2">
      <c r="A268" s="1">
        <v>43922</v>
      </c>
      <c r="B268" s="14">
        <v>262</v>
      </c>
      <c r="C268" s="2">
        <v>269.670263948843</v>
      </c>
      <c r="E268" s="3">
        <f t="shared" si="440"/>
        <v>103.69963092473877</v>
      </c>
      <c r="F268" s="3">
        <f t="shared" si="443"/>
        <v>107.09291878287421</v>
      </c>
      <c r="H268" s="5" t="s">
        <v>2</v>
      </c>
      <c r="I268" s="6">
        <f t="shared" si="444"/>
        <v>9.546643348897077E-2</v>
      </c>
      <c r="J268" s="6">
        <f>+AVERAGE(M$265:M268)/AVERAGE(B$253:B256)-1</f>
        <v>4656.9118105146426</v>
      </c>
      <c r="K268" s="6">
        <f t="shared" si="445"/>
        <v>0.11907786576393864</v>
      </c>
      <c r="L268" s="6">
        <f t="shared" si="446"/>
        <v>0.11907786576393864</v>
      </c>
      <c r="M268" s="2">
        <v>1170397</v>
      </c>
    </row>
    <row r="269" spans="1:13" x14ac:dyDescent="0.2">
      <c r="A269" s="1">
        <v>43952</v>
      </c>
      <c r="B269" s="14">
        <v>257</v>
      </c>
      <c r="C269" s="2">
        <v>267.02123865301098</v>
      </c>
      <c r="E269" s="3">
        <f t="shared" si="440"/>
        <v>101.72063033457199</v>
      </c>
      <c r="F269" s="3">
        <f t="shared" si="443"/>
        <v>106.04092348051439</v>
      </c>
      <c r="H269" s="5" t="s">
        <v>1</v>
      </c>
      <c r="I269" s="6">
        <f t="shared" si="444"/>
        <v>-1.9321667926717634E-2</v>
      </c>
      <c r="J269" s="6">
        <f>+AVERAGE(M$265:M269)/AVERAGE(B$253:B257)-1</f>
        <v>4595.1081659370757</v>
      </c>
      <c r="K269" s="6">
        <f t="shared" si="445"/>
        <v>-9.8232013312914424E-3</v>
      </c>
      <c r="L269" s="6">
        <f t="shared" si="446"/>
        <v>-9.8232013312914424E-3</v>
      </c>
      <c r="M269" s="2">
        <v>1145787</v>
      </c>
    </row>
    <row r="270" spans="1:13" x14ac:dyDescent="0.2">
      <c r="A270" s="1">
        <v>43983</v>
      </c>
      <c r="B270" s="14">
        <v>272</v>
      </c>
      <c r="C270" s="2">
        <v>268.32585861083902</v>
      </c>
      <c r="E270" s="3">
        <f t="shared" si="440"/>
        <v>107.65763210507231</v>
      </c>
      <c r="F270" s="3">
        <f t="shared" si="443"/>
        <v>106.55902123864429</v>
      </c>
      <c r="H270" s="5" t="s">
        <v>3</v>
      </c>
      <c r="I270" s="6">
        <f t="shared" si="444"/>
        <v>0.12735251685283222</v>
      </c>
      <c r="J270" s="6">
        <f>+AVERAGE(M$265:M270)/AVERAGE(B$253:B258)-1</f>
        <v>4658.9035874706278</v>
      </c>
      <c r="K270" s="6">
        <f t="shared" si="445"/>
        <v>4.8858284247694783E-3</v>
      </c>
      <c r="L270" s="6">
        <f t="shared" si="446"/>
        <v>4.8858284247694783E-3</v>
      </c>
      <c r="M270" s="2">
        <v>1201605</v>
      </c>
    </row>
    <row r="271" spans="1:13" x14ac:dyDescent="0.2">
      <c r="A271" s="1">
        <v>44013</v>
      </c>
      <c r="B271" s="14">
        <v>277</v>
      </c>
      <c r="C271" s="2">
        <v>261.33991015629698</v>
      </c>
      <c r="E271" s="3">
        <f t="shared" si="440"/>
        <v>109.63663269523907</v>
      </c>
      <c r="F271" s="3">
        <f t="shared" si="443"/>
        <v>103.78472347400259</v>
      </c>
      <c r="H271" s="5" t="s">
        <v>3</v>
      </c>
      <c r="I271" s="6">
        <f t="shared" si="444"/>
        <v>-3.1486763899521653E-2</v>
      </c>
      <c r="J271" s="6">
        <f>+AVERAGE(M$265:M271)/AVERAGE(B$253:B259)-1</f>
        <v>4588.9578958588909</v>
      </c>
      <c r="K271" s="6">
        <f t="shared" si="445"/>
        <v>-2.6035315756406274E-2</v>
      </c>
      <c r="L271" s="6">
        <f t="shared" si="446"/>
        <v>-2.6035315756406274E-2</v>
      </c>
      <c r="M271" s="2">
        <v>1211130</v>
      </c>
    </row>
    <row r="272" spans="1:13" x14ac:dyDescent="0.2">
      <c r="A272" s="1">
        <v>44044</v>
      </c>
      <c r="B272" s="14">
        <v>266</v>
      </c>
      <c r="C272" s="2">
        <v>263.48037741317802</v>
      </c>
      <c r="E272" s="3">
        <f t="shared" si="440"/>
        <v>105.28283139687218</v>
      </c>
      <c r="F272" s="3">
        <f t="shared" si="443"/>
        <v>104.63475744787092</v>
      </c>
      <c r="H272" s="5" t="s">
        <v>2</v>
      </c>
      <c r="I272" s="6">
        <f t="shared" si="444"/>
        <v>-2.0274408247123676E-2</v>
      </c>
      <c r="J272" s="6">
        <f>+AVERAGE(M$265:M272)/AVERAGE(B$253:B260)-1</f>
        <v>4544.544783503703</v>
      </c>
      <c r="K272" s="6">
        <f t="shared" si="445"/>
        <v>8.1903573610355718E-3</v>
      </c>
      <c r="L272" s="6">
        <f t="shared" si="446"/>
        <v>8.1903573610355718E-3</v>
      </c>
      <c r="M272" s="2">
        <v>1156907</v>
      </c>
    </row>
    <row r="273" spans="1:13" x14ac:dyDescent="0.2">
      <c r="A273" s="1">
        <v>44075</v>
      </c>
      <c r="B273" s="14">
        <v>279</v>
      </c>
      <c r="C273" s="2">
        <v>268.680370328165</v>
      </c>
      <c r="E273" s="3">
        <f t="shared" si="440"/>
        <v>110.42823293130579</v>
      </c>
      <c r="F273" s="3">
        <f t="shared" si="443"/>
        <v>106.69980685584667</v>
      </c>
      <c r="H273" s="5" t="s">
        <v>4</v>
      </c>
      <c r="I273" s="6">
        <f t="shared" si="444"/>
        <v>1.2830776237536368E-2</v>
      </c>
      <c r="J273" s="6">
        <f>+AVERAGE(M$265:M273)/AVERAGE(B$253:B261)-1</f>
        <v>4526.4237522866115</v>
      </c>
      <c r="K273" s="6">
        <f t="shared" si="445"/>
        <v>1.9735788167756452E-2</v>
      </c>
      <c r="L273" s="6">
        <f t="shared" si="446"/>
        <v>1.9735788167756452E-2</v>
      </c>
      <c r="M273" s="2">
        <v>1210719</v>
      </c>
    </row>
    <row r="274" spans="1:13" x14ac:dyDescent="0.2">
      <c r="A274" s="1">
        <v>44105</v>
      </c>
      <c r="B274" s="14">
        <v>282</v>
      </c>
      <c r="C274" s="2">
        <v>270.24566757869297</v>
      </c>
      <c r="E274" s="3">
        <f t="shared" si="440"/>
        <v>111.61563328540585</v>
      </c>
      <c r="F274" s="3">
        <f t="shared" si="443"/>
        <v>107.32142619521012</v>
      </c>
      <c r="H274" s="5" t="s">
        <v>5</v>
      </c>
      <c r="I274" s="6">
        <f t="shared" si="444"/>
        <v>-4.8205412230741262E-2</v>
      </c>
      <c r="J274" s="6">
        <f>+AVERAGE(M$265:M274)/AVERAGE(B$253:B262)-1</f>
        <v>4484.9286560991723</v>
      </c>
      <c r="K274" s="6">
        <f t="shared" si="445"/>
        <v>5.8258712708192384E-3</v>
      </c>
      <c r="L274" s="6">
        <f t="shared" si="446"/>
        <v>5.8258712708192384E-3</v>
      </c>
      <c r="M274" s="2">
        <v>1234250</v>
      </c>
    </row>
    <row r="275" spans="1:13" x14ac:dyDescent="0.2">
      <c r="A275" s="1">
        <v>44136</v>
      </c>
      <c r="B275" s="14">
        <v>279</v>
      </c>
      <c r="C275" s="2">
        <v>280.57015608509897</v>
      </c>
      <c r="E275" s="3">
        <f t="shared" si="440"/>
        <v>110.42823293130579</v>
      </c>
      <c r="F275" s="3">
        <f t="shared" si="443"/>
        <v>111.42154310428471</v>
      </c>
      <c r="H275" s="5" t="s">
        <v>6</v>
      </c>
      <c r="I275" s="6">
        <f t="shared" si="444"/>
        <v>2.5735294117646967E-2</v>
      </c>
      <c r="M275" s="12">
        <v>1224106</v>
      </c>
    </row>
    <row r="276" spans="1:13" x14ac:dyDescent="0.2">
      <c r="A276" s="1">
        <v>44166</v>
      </c>
      <c r="B276" s="14">
        <v>270</v>
      </c>
      <c r="C276" s="2">
        <v>255.57667602335201</v>
      </c>
      <c r="E276" s="3">
        <f t="shared" si="440"/>
        <v>106.86603186900561</v>
      </c>
      <c r="F276" s="3">
        <f t="shared" si="443"/>
        <v>101.49599665670969</v>
      </c>
      <c r="H276" s="5" t="s">
        <v>7</v>
      </c>
      <c r="I276" s="6">
        <f t="shared" si="444"/>
        <v>-3.9145907473309594E-2</v>
      </c>
      <c r="M276" s="12">
        <v>1200821</v>
      </c>
    </row>
    <row r="277" spans="1:13" x14ac:dyDescent="0.2">
      <c r="A277" s="1">
        <v>44197</v>
      </c>
      <c r="B277" s="14">
        <v>228</v>
      </c>
      <c r="C277" s="2">
        <v>250.07465671227601</v>
      </c>
      <c r="E277" s="3">
        <f t="shared" si="440"/>
        <v>90.242426911604724</v>
      </c>
      <c r="F277" s="3">
        <f t="shared" si="443"/>
        <v>99.311004887151284</v>
      </c>
      <c r="H277" s="5" t="s">
        <v>34</v>
      </c>
      <c r="I277" s="6">
        <f t="shared" si="444"/>
        <v>-0.11627906976744184</v>
      </c>
      <c r="M277" s="12">
        <v>998607</v>
      </c>
    </row>
    <row r="278" spans="1:13" x14ac:dyDescent="0.2">
      <c r="A278" s="1">
        <v>44228</v>
      </c>
      <c r="B278" s="14">
        <v>227</v>
      </c>
      <c r="C278" s="2">
        <v>254.731608602808</v>
      </c>
      <c r="E278" s="3">
        <f t="shared" si="440"/>
        <v>89.846626793571374</v>
      </c>
      <c r="F278" s="3">
        <f t="shared" si="443"/>
        <v>101.16039889628499</v>
      </c>
      <c r="H278" s="5" t="s">
        <v>0</v>
      </c>
      <c r="I278" s="6">
        <f t="shared" si="444"/>
        <v>4.4247787610618428E-3</v>
      </c>
      <c r="M278" s="12">
        <v>1004791</v>
      </c>
    </row>
    <row r="279" spans="1:13" x14ac:dyDescent="0.2">
      <c r="A279" s="1">
        <v>44256</v>
      </c>
      <c r="B279" s="14">
        <v>266</v>
      </c>
      <c r="C279" s="2">
        <v>256.45150645425701</v>
      </c>
      <c r="E279" s="3">
        <f t="shared" si="440"/>
        <v>105.28283139687218</v>
      </c>
      <c r="F279" s="3">
        <f t="shared" si="443"/>
        <v>101.84341406533979</v>
      </c>
      <c r="H279" s="5" t="s">
        <v>1</v>
      </c>
      <c r="I279" s="6">
        <f t="shared" si="444"/>
        <v>9.0163934426229497E-2</v>
      </c>
      <c r="M279" s="12">
        <v>1179206</v>
      </c>
    </row>
    <row r="280" spans="1:13" x14ac:dyDescent="0.2">
      <c r="A280" s="1">
        <v>44287</v>
      </c>
      <c r="B280" s="14">
        <v>248</v>
      </c>
      <c r="C280" s="2">
        <v>255.855022196351</v>
      </c>
      <c r="E280" s="3">
        <f t="shared" si="440"/>
        <v>98.158429272271803</v>
      </c>
      <c r="F280" s="3">
        <f t="shared" si="443"/>
        <v>101.60653499958076</v>
      </c>
      <c r="H280" s="5" t="s">
        <v>2</v>
      </c>
      <c r="I280" s="6">
        <f t="shared" si="444"/>
        <v>-5.3435114503816883E-2</v>
      </c>
      <c r="M280" s="12">
        <v>1096978</v>
      </c>
    </row>
    <row r="281" spans="1:13" x14ac:dyDescent="0.2">
      <c r="A281" s="1">
        <v>44317</v>
      </c>
      <c r="B281" s="14">
        <v>221</v>
      </c>
      <c r="C281" s="2">
        <v>229.67904565196599</v>
      </c>
      <c r="E281" s="3">
        <f t="shared" si="440"/>
        <v>87.471826085371248</v>
      </c>
      <c r="F281" s="3">
        <f t="shared" si="443"/>
        <v>91.211389131135917</v>
      </c>
      <c r="H281" s="5" t="s">
        <v>1</v>
      </c>
      <c r="I281" s="6">
        <f t="shared" si="444"/>
        <v>-0.1400778210116731</v>
      </c>
      <c r="M281" s="12">
        <v>982643</v>
      </c>
    </row>
    <row r="282" spans="1:13" x14ac:dyDescent="0.2">
      <c r="A282" s="1">
        <v>44348</v>
      </c>
      <c r="B282" s="14">
        <v>253</v>
      </c>
      <c r="C282" s="2">
        <v>248.37259662212</v>
      </c>
      <c r="E282" s="3">
        <f t="shared" si="440"/>
        <v>100.13742986243858</v>
      </c>
      <c r="F282" s="3">
        <f t="shared" si="443"/>
        <v>98.635073546670867</v>
      </c>
      <c r="H282" s="5" t="s">
        <v>3</v>
      </c>
      <c r="I282" s="6">
        <f t="shared" si="444"/>
        <v>-6.9852941176470562E-2</v>
      </c>
      <c r="M282" s="12">
        <v>1089097</v>
      </c>
    </row>
    <row r="283" spans="1:13" x14ac:dyDescent="0.2">
      <c r="A283" s="1">
        <v>44378</v>
      </c>
      <c r="B283" s="14">
        <v>251</v>
      </c>
      <c r="C283" s="2">
        <v>242.35777484883801</v>
      </c>
      <c r="E283" s="3">
        <f t="shared" si="440"/>
        <v>99.345829626371867</v>
      </c>
      <c r="F283" s="3">
        <f t="shared" si="443"/>
        <v>96.246434880222481</v>
      </c>
      <c r="H283" s="5" t="s">
        <v>3</v>
      </c>
      <c r="I283" s="6">
        <f t="shared" si="444"/>
        <v>-9.3862815884476536E-2</v>
      </c>
      <c r="M283" s="12">
        <v>1074275</v>
      </c>
    </row>
    <row r="284" spans="1:13" x14ac:dyDescent="0.2">
      <c r="A284" s="1">
        <v>44409</v>
      </c>
      <c r="B284" s="14">
        <v>267</v>
      </c>
      <c r="C284" s="2">
        <v>254.44395477130101</v>
      </c>
      <c r="E284" s="3">
        <f t="shared" si="440"/>
        <v>105.67863151490553</v>
      </c>
      <c r="F284" s="3">
        <f t="shared" si="443"/>
        <v>101.04616424555239</v>
      </c>
      <c r="H284" s="5" t="s">
        <v>2</v>
      </c>
      <c r="I284" s="6">
        <f t="shared" si="444"/>
        <v>3.759398496240518E-3</v>
      </c>
      <c r="M284" s="12">
        <v>1139472</v>
      </c>
    </row>
    <row r="285" spans="1:13" x14ac:dyDescent="0.2">
      <c r="A285" s="1">
        <v>44440</v>
      </c>
      <c r="B285" s="14">
        <v>256</v>
      </c>
      <c r="C285" s="2">
        <v>244.390157767711</v>
      </c>
      <c r="E285" s="3">
        <f t="shared" si="440"/>
        <v>101.32483021653864</v>
      </c>
      <c r="F285" s="3">
        <f t="shared" si="443"/>
        <v>97.053545815182133</v>
      </c>
      <c r="H285" s="5" t="s">
        <v>4</v>
      </c>
      <c r="I285" s="6">
        <f t="shared" si="444"/>
        <v>-8.2437275985663083E-2</v>
      </c>
      <c r="M285" s="12">
        <v>1099763</v>
      </c>
    </row>
    <row r="286" spans="1:13" x14ac:dyDescent="0.2">
      <c r="A286" s="1">
        <v>44470</v>
      </c>
      <c r="B286" s="14">
        <v>249</v>
      </c>
      <c r="C286" s="2">
        <v>248.28343777711399</v>
      </c>
      <c r="E286" s="3">
        <f t="shared" si="440"/>
        <v>98.554229390305153</v>
      </c>
      <c r="F286" s="3">
        <f t="shared" si="443"/>
        <v>98.59966630225621</v>
      </c>
      <c r="H286" s="5" t="s">
        <v>5</v>
      </c>
      <c r="I286" s="6">
        <f t="shared" si="444"/>
        <v>-0.11702127659574479</v>
      </c>
      <c r="M286" s="12">
        <v>1076693</v>
      </c>
    </row>
    <row r="287" spans="1:13" x14ac:dyDescent="0.2">
      <c r="A287" s="1">
        <v>44501</v>
      </c>
      <c r="B287" s="14">
        <v>254</v>
      </c>
      <c r="C287" s="2">
        <v>248.09803340310799</v>
      </c>
      <c r="E287" s="3">
        <f t="shared" si="440"/>
        <v>100.53322998047194</v>
      </c>
      <c r="F287" s="3">
        <f t="shared" si="443"/>
        <v>98.526037511018103</v>
      </c>
      <c r="H287" s="5" t="s">
        <v>6</v>
      </c>
      <c r="I287" s="6">
        <f t="shared" si="444"/>
        <v>-8.9605734767025047E-2</v>
      </c>
      <c r="M287" s="12">
        <v>1103333</v>
      </c>
    </row>
    <row r="288" spans="1:13" x14ac:dyDescent="0.2">
      <c r="A288" s="1">
        <v>44531</v>
      </c>
      <c r="B288" s="14">
        <v>262</v>
      </c>
      <c r="C288" s="2">
        <v>248.53010761271901</v>
      </c>
      <c r="E288" s="3">
        <f t="shared" si="440"/>
        <v>103.69963092473877</v>
      </c>
      <c r="F288" s="3">
        <f t="shared" si="443"/>
        <v>98.697625166106491</v>
      </c>
      <c r="H288" s="5" t="s">
        <v>7</v>
      </c>
      <c r="I288" s="6">
        <f t="shared" si="444"/>
        <v>-2.9629629629629672E-2</v>
      </c>
      <c r="M288" s="12">
        <v>1142377</v>
      </c>
    </row>
    <row r="289" spans="1:13" x14ac:dyDescent="0.2">
      <c r="A289" s="1">
        <v>44562</v>
      </c>
      <c r="B289" s="14">
        <v>223</v>
      </c>
      <c r="C289" s="2">
        <v>244.588975717994</v>
      </c>
      <c r="E289" s="3">
        <f t="shared" si="440"/>
        <v>88.263426321437947</v>
      </c>
      <c r="F289" s="3">
        <f t="shared" si="443"/>
        <v>97.132501478629962</v>
      </c>
      <c r="H289" s="5" t="s">
        <v>35</v>
      </c>
      <c r="I289" s="6">
        <f t="shared" si="444"/>
        <v>-2.1929824561403577E-2</v>
      </c>
      <c r="M289" s="12">
        <v>976836</v>
      </c>
    </row>
    <row r="290" spans="1:13" x14ac:dyDescent="0.2">
      <c r="A290" s="1">
        <v>44593</v>
      </c>
      <c r="B290" s="14">
        <v>235</v>
      </c>
      <c r="C290" s="2">
        <v>262.46679532706798</v>
      </c>
      <c r="E290" s="3">
        <f t="shared" si="440"/>
        <v>93.0130277378382</v>
      </c>
      <c r="F290" s="3">
        <f t="shared" si="443"/>
        <v>104.23223822888818</v>
      </c>
      <c r="H290" s="5" t="s">
        <v>0</v>
      </c>
      <c r="I290" s="6">
        <f t="shared" si="444"/>
        <v>3.5242290748898508E-2</v>
      </c>
      <c r="M290" s="12">
        <v>1025626</v>
      </c>
    </row>
    <row r="291" spans="1:13" x14ac:dyDescent="0.2">
      <c r="A291" s="1">
        <v>44621</v>
      </c>
      <c r="B291" s="14">
        <v>263</v>
      </c>
      <c r="C291" s="2">
        <v>254.91745881902199</v>
      </c>
      <c r="E291" s="3">
        <f t="shared" si="440"/>
        <v>104.09543104277212</v>
      </c>
      <c r="F291" s="3">
        <f t="shared" si="443"/>
        <v>101.23420474280043</v>
      </c>
      <c r="H291" s="5" t="s">
        <v>1</v>
      </c>
      <c r="I291" s="6">
        <f t="shared" si="444"/>
        <v>-1.1278195488721776E-2</v>
      </c>
      <c r="M291" s="12">
        <v>1149697</v>
      </c>
    </row>
    <row r="292" spans="1:13" x14ac:dyDescent="0.2">
      <c r="A292" s="1">
        <v>44652</v>
      </c>
      <c r="B292" s="14">
        <v>243</v>
      </c>
      <c r="C292" s="2">
        <v>259.91764418357201</v>
      </c>
      <c r="E292" s="3">
        <f t="shared" si="440"/>
        <v>96.179428682105041</v>
      </c>
      <c r="F292" s="3">
        <f t="shared" si="443"/>
        <v>103.2199054919444</v>
      </c>
      <c r="H292" s="5" t="s">
        <v>2</v>
      </c>
      <c r="I292" s="6">
        <f t="shared" si="444"/>
        <v>-2.0161290322580516E-2</v>
      </c>
      <c r="M292" s="12">
        <v>1055459</v>
      </c>
    </row>
    <row r="293" spans="1:13" x14ac:dyDescent="0.2">
      <c r="A293" s="1">
        <v>44682</v>
      </c>
      <c r="B293" s="14">
        <v>270</v>
      </c>
      <c r="C293" s="2">
        <v>269.91604326791997</v>
      </c>
      <c r="E293" s="3">
        <f t="shared" si="440"/>
        <v>106.86603186900561</v>
      </c>
      <c r="F293" s="3">
        <f t="shared" si="443"/>
        <v>107.19052399996785</v>
      </c>
      <c r="H293" s="5" t="s">
        <v>1</v>
      </c>
      <c r="I293" s="6">
        <f t="shared" si="444"/>
        <v>0.22171945701357476</v>
      </c>
      <c r="M293" s="12">
        <v>1164847</v>
      </c>
    </row>
    <row r="294" spans="1:13" x14ac:dyDescent="0.2">
      <c r="A294" s="1">
        <v>44713</v>
      </c>
      <c r="B294" s="14">
        <v>267</v>
      </c>
      <c r="C294" s="2">
        <v>261.720145623772</v>
      </c>
      <c r="E294" s="3">
        <f t="shared" si="440"/>
        <v>105.67863151490553</v>
      </c>
      <c r="F294" s="3">
        <f t="shared" si="443"/>
        <v>103.93572464647296</v>
      </c>
      <c r="H294" s="5" t="s">
        <v>3</v>
      </c>
      <c r="I294" s="6">
        <f t="shared" si="444"/>
        <v>5.5335968379446543E-2</v>
      </c>
      <c r="M294" s="12">
        <v>1142952</v>
      </c>
    </row>
    <row r="295" spans="1:13" x14ac:dyDescent="0.2">
      <c r="A295" s="1">
        <v>44743</v>
      </c>
      <c r="B295" s="14">
        <v>262</v>
      </c>
      <c r="C295" s="2">
        <v>259.43063527460401</v>
      </c>
      <c r="E295" s="3">
        <f t="shared" si="440"/>
        <v>103.69963092473877</v>
      </c>
      <c r="F295" s="3">
        <f t="shared" si="443"/>
        <v>103.02650187090394</v>
      </c>
      <c r="H295" s="5" t="s">
        <v>3</v>
      </c>
      <c r="I295" s="6">
        <f t="shared" si="444"/>
        <v>4.3824701195219307E-2</v>
      </c>
      <c r="M295" s="12">
        <v>1109364</v>
      </c>
    </row>
    <row r="296" spans="1:13" x14ac:dyDescent="0.2">
      <c r="A296" s="1">
        <v>44774</v>
      </c>
      <c r="B296" s="14">
        <v>291</v>
      </c>
      <c r="C296" s="2">
        <v>269.00635063085002</v>
      </c>
      <c r="E296" s="3">
        <f t="shared" si="440"/>
        <v>115.17783434770604</v>
      </c>
      <c r="F296" s="3">
        <f t="shared" si="443"/>
        <v>106.82926192282021</v>
      </c>
      <c r="H296" s="5" t="s">
        <v>2</v>
      </c>
      <c r="I296" s="6">
        <f t="shared" si="444"/>
        <v>8.98876404494382E-2</v>
      </c>
      <c r="M296" s="12">
        <v>1233093</v>
      </c>
    </row>
    <row r="297" spans="1:13" x14ac:dyDescent="0.2">
      <c r="A297" s="1">
        <v>44805</v>
      </c>
      <c r="B297" s="14">
        <v>280</v>
      </c>
      <c r="C297" s="2">
        <v>267.90762927169499</v>
      </c>
      <c r="E297" s="3">
        <f t="shared" si="440"/>
        <v>110.82403304933915</v>
      </c>
      <c r="F297" s="3">
        <f t="shared" si="443"/>
        <v>106.39293173365509</v>
      </c>
      <c r="H297" s="5" t="s">
        <v>4</v>
      </c>
      <c r="I297" s="6">
        <f t="shared" si="444"/>
        <v>9.375E-2</v>
      </c>
      <c r="M297" s="12">
        <v>1185273</v>
      </c>
    </row>
    <row r="298" spans="1:13" x14ac:dyDescent="0.2">
      <c r="A298" s="1">
        <v>44835</v>
      </c>
      <c r="B298" s="14">
        <v>258</v>
      </c>
      <c r="C298" s="2">
        <v>259.26704721927399</v>
      </c>
      <c r="E298" s="3">
        <f t="shared" si="440"/>
        <v>102.11643045260534</v>
      </c>
      <c r="F298" s="3">
        <f t="shared" si="443"/>
        <v>102.96153689454069</v>
      </c>
      <c r="H298" s="5" t="s">
        <v>5</v>
      </c>
      <c r="I298" s="6">
        <f t="shared" si="444"/>
        <v>3.6144578313253017E-2</v>
      </c>
      <c r="M298" s="12">
        <v>1112073</v>
      </c>
    </row>
    <row r="299" spans="1:13" x14ac:dyDescent="0.2">
      <c r="A299" s="1">
        <v>44866</v>
      </c>
      <c r="B299" s="14">
        <v>275</v>
      </c>
      <c r="C299" s="2">
        <v>269.84210202896401</v>
      </c>
      <c r="E299" s="3">
        <f t="shared" si="440"/>
        <v>108.84503245917236</v>
      </c>
      <c r="F299" s="3">
        <f t="shared" si="443"/>
        <v>107.16116005385727</v>
      </c>
      <c r="H299" s="5" t="s">
        <v>6</v>
      </c>
      <c r="I299" s="6">
        <f t="shared" si="444"/>
        <v>8.2677165354330562E-2</v>
      </c>
      <c r="M299" s="12">
        <v>1181289</v>
      </c>
    </row>
    <row r="300" spans="1:13" x14ac:dyDescent="0.2">
      <c r="A300" s="1">
        <v>44896</v>
      </c>
      <c r="B300" s="14">
        <v>283</v>
      </c>
      <c r="C300" s="2">
        <v>279.126109983368</v>
      </c>
      <c r="E300" s="3">
        <f t="shared" si="440"/>
        <v>112.0114334034392</v>
      </c>
      <c r="F300" s="3">
        <f t="shared" si="443"/>
        <v>110.84807567918982</v>
      </c>
      <c r="H300" s="5" t="s">
        <v>7</v>
      </c>
      <c r="I300" s="6">
        <f t="shared" si="444"/>
        <v>8.0152671755725047E-2</v>
      </c>
      <c r="M300" s="12">
        <v>1243724</v>
      </c>
    </row>
    <row r="301" spans="1:13" x14ac:dyDescent="0.2">
      <c r="A301" s="1">
        <v>44927</v>
      </c>
      <c r="B301" s="14">
        <v>273</v>
      </c>
      <c r="C301" s="2">
        <v>284.66593077407202</v>
      </c>
      <c r="E301" s="3">
        <f t="shared" si="440"/>
        <v>108.05343222310566</v>
      </c>
      <c r="F301" s="3">
        <f t="shared" si="443"/>
        <v>113.0480793774956</v>
      </c>
      <c r="H301" s="5" t="s">
        <v>36</v>
      </c>
      <c r="I301" s="6">
        <f t="shared" si="444"/>
        <v>0.2242152466367715</v>
      </c>
      <c r="M301" s="12">
        <v>1196130</v>
      </c>
    </row>
    <row r="302" spans="1:13" x14ac:dyDescent="0.2">
      <c r="A302" s="1">
        <v>44958</v>
      </c>
      <c r="B302" s="14">
        <v>239</v>
      </c>
      <c r="C302" s="2">
        <v>265.98641502073099</v>
      </c>
      <c r="E302" s="3">
        <f t="shared" si="440"/>
        <v>94.596228209971628</v>
      </c>
      <c r="F302" s="3">
        <f t="shared" si="443"/>
        <v>105.6299687034338</v>
      </c>
      <c r="H302" s="5" t="s">
        <v>0</v>
      </c>
      <c r="I302" s="6">
        <f t="shared" si="444"/>
        <v>1.7021276595744705E-2</v>
      </c>
      <c r="M302" s="12">
        <v>1052684</v>
      </c>
    </row>
    <row r="303" spans="1:13" x14ac:dyDescent="0.2">
      <c r="A303" s="1">
        <v>44986</v>
      </c>
      <c r="B303" s="14">
        <v>294</v>
      </c>
      <c r="C303" s="2">
        <v>287.00031987569002</v>
      </c>
      <c r="E303" s="3">
        <f t="shared" si="440"/>
        <v>116.36523470180609</v>
      </c>
      <c r="F303" s="3">
        <f t="shared" si="443"/>
        <v>113.97512464680501</v>
      </c>
      <c r="H303" s="5" t="s">
        <v>1</v>
      </c>
      <c r="I303" s="6">
        <f t="shared" si="444"/>
        <v>0.11787072243346008</v>
      </c>
      <c r="M303" s="12">
        <v>1296184</v>
      </c>
    </row>
    <row r="304" spans="1:13" x14ac:dyDescent="0.2">
      <c r="A304" s="1">
        <v>45017</v>
      </c>
      <c r="B304" s="14">
        <v>264</v>
      </c>
      <c r="C304" s="2">
        <v>290.99572789425201</v>
      </c>
      <c r="E304" s="3">
        <f t="shared" si="440"/>
        <v>104.49123116080547</v>
      </c>
      <c r="F304" s="3">
        <f t="shared" si="443"/>
        <v>115.56180276314889</v>
      </c>
      <c r="H304" s="5" t="s">
        <v>2</v>
      </c>
      <c r="I304" s="6">
        <f t="shared" si="444"/>
        <v>8.6419753086419693E-2</v>
      </c>
      <c r="M304" s="12">
        <v>1178756</v>
      </c>
    </row>
    <row r="305" spans="1:13" x14ac:dyDescent="0.2">
      <c r="A305" s="1">
        <v>45047</v>
      </c>
      <c r="B305" s="14">
        <v>290</v>
      </c>
      <c r="C305" s="2">
        <v>280.94880587936001</v>
      </c>
      <c r="E305" s="3">
        <f t="shared" si="440"/>
        <v>114.78203422967267</v>
      </c>
      <c r="F305" s="3">
        <f t="shared" si="443"/>
        <v>111.57191456560254</v>
      </c>
      <c r="H305" s="5" t="s">
        <v>1</v>
      </c>
      <c r="I305" s="6">
        <f t="shared" si="444"/>
        <v>7.4074074074073959E-2</v>
      </c>
      <c r="M305" s="12">
        <v>1287488</v>
      </c>
    </row>
    <row r="306" spans="1:13" x14ac:dyDescent="0.2">
      <c r="A306" s="1">
        <v>45078</v>
      </c>
      <c r="B306" s="14">
        <v>298</v>
      </c>
      <c r="C306" s="2">
        <v>292.76373546347997</v>
      </c>
      <c r="E306" s="3">
        <f t="shared" si="440"/>
        <v>117.94843517393952</v>
      </c>
      <c r="F306" s="3">
        <f t="shared" si="443"/>
        <v>116.26392352443074</v>
      </c>
      <c r="H306" s="5" t="s">
        <v>3</v>
      </c>
      <c r="I306" s="6">
        <f t="shared" si="444"/>
        <v>0.11610486891385774</v>
      </c>
      <c r="M306" s="12">
        <v>1318788</v>
      </c>
    </row>
    <row r="307" spans="1:13" x14ac:dyDescent="0.2">
      <c r="A307" s="1">
        <v>45108</v>
      </c>
      <c r="B307" s="14">
        <v>291</v>
      </c>
      <c r="C307" s="2">
        <v>286.39772387057502</v>
      </c>
      <c r="E307" s="3">
        <f t="shared" si="440"/>
        <v>115.17783434770604</v>
      </c>
      <c r="F307" s="3">
        <f t="shared" si="443"/>
        <v>113.73581845082448</v>
      </c>
      <c r="H307" s="5" t="s">
        <v>3</v>
      </c>
      <c r="I307" s="6">
        <f t="shared" si="444"/>
        <v>0.11068702290076327</v>
      </c>
      <c r="M307" s="12">
        <v>1291891</v>
      </c>
    </row>
    <row r="308" spans="1:13" x14ac:dyDescent="0.2">
      <c r="A308" s="1">
        <v>45139</v>
      </c>
      <c r="B308" s="14">
        <v>280</v>
      </c>
      <c r="C308" s="2">
        <v>257.41970396243801</v>
      </c>
      <c r="E308" s="3">
        <f t="shared" si="440"/>
        <v>110.82403304933915</v>
      </c>
      <c r="F308" s="3">
        <f t="shared" si="443"/>
        <v>102.22790991442264</v>
      </c>
      <c r="H308" s="5" t="s">
        <v>2</v>
      </c>
      <c r="I308" s="6">
        <f t="shared" si="444"/>
        <v>-3.7800687285223344E-2</v>
      </c>
      <c r="M308" s="12">
        <v>1239677</v>
      </c>
    </row>
    <row r="309" spans="1:13" x14ac:dyDescent="0.2">
      <c r="A309" s="1">
        <v>45170</v>
      </c>
      <c r="B309" s="14">
        <v>267</v>
      </c>
      <c r="C309" s="2">
        <v>263.22495240936303</v>
      </c>
      <c r="E309" s="3">
        <f t="shared" si="440"/>
        <v>105.67863151490553</v>
      </c>
      <c r="F309" s="3">
        <f t="shared" si="443"/>
        <v>104.53332168410476</v>
      </c>
      <c r="H309" s="5" t="s">
        <v>4</v>
      </c>
      <c r="I309" s="6">
        <f t="shared" si="444"/>
        <v>-4.6428571428571597E-2</v>
      </c>
      <c r="M309" s="12">
        <v>1162786</v>
      </c>
    </row>
    <row r="310" spans="1:13" x14ac:dyDescent="0.2">
      <c r="A310" s="1">
        <v>45200</v>
      </c>
      <c r="B310" s="14">
        <v>260</v>
      </c>
      <c r="C310" s="2">
        <v>253.51264695469499</v>
      </c>
      <c r="E310" s="3">
        <f t="shared" si="440"/>
        <v>102.90803068867204</v>
      </c>
      <c r="F310" s="3">
        <f t="shared" si="443"/>
        <v>100.67631823099677</v>
      </c>
      <c r="H310" s="5" t="s">
        <v>5</v>
      </c>
      <c r="I310" s="6">
        <f t="shared" si="444"/>
        <v>7.7519379844961378E-3</v>
      </c>
      <c r="M310" s="12">
        <v>1166858</v>
      </c>
    </row>
    <row r="311" spans="1:13" x14ac:dyDescent="0.2">
      <c r="A311" s="1">
        <v>45231</v>
      </c>
      <c r="B311" s="14">
        <v>285</v>
      </c>
      <c r="C311" s="2">
        <v>280.44323566908002</v>
      </c>
      <c r="E311" s="3">
        <f t="shared" si="440"/>
        <v>112.8030336395059</v>
      </c>
      <c r="F311" s="3">
        <f t="shared" si="443"/>
        <v>111.37113977984852</v>
      </c>
      <c r="H311" s="5" t="s">
        <v>6</v>
      </c>
      <c r="I311" s="6">
        <f t="shared" si="444"/>
        <v>3.6363636363636376E-2</v>
      </c>
      <c r="M311" s="12">
        <v>1241952</v>
      </c>
    </row>
    <row r="312" spans="1:13" x14ac:dyDescent="0.2">
      <c r="A312" s="1">
        <v>45261</v>
      </c>
      <c r="B312" s="14">
        <v>246</v>
      </c>
      <c r="C312" s="2">
        <v>251.11877953927399</v>
      </c>
      <c r="E312" s="3">
        <f t="shared" si="440"/>
        <v>97.36682903620509</v>
      </c>
      <c r="F312" s="3">
        <f t="shared" si="443"/>
        <v>99.72565261090719</v>
      </c>
      <c r="H312" s="5" t="s">
        <v>7</v>
      </c>
      <c r="I312" s="6">
        <f t="shared" si="444"/>
        <v>-0.13074204946996471</v>
      </c>
      <c r="M312" s="12">
        <v>1083808</v>
      </c>
    </row>
    <row r="313" spans="1:13" x14ac:dyDescent="0.2">
      <c r="A313" s="1">
        <v>45292</v>
      </c>
      <c r="B313" s="14">
        <v>268</v>
      </c>
      <c r="C313" s="2">
        <v>269.25399679085399</v>
      </c>
      <c r="E313" s="3">
        <f t="shared" si="440"/>
        <v>106.07443163293888</v>
      </c>
      <c r="F313" s="3">
        <f t="shared" si="443"/>
        <v>106.92760850991452</v>
      </c>
      <c r="H313" s="5" t="s">
        <v>37</v>
      </c>
      <c r="I313" s="6">
        <f t="shared" si="444"/>
        <v>-1.8315018315018361E-2</v>
      </c>
      <c r="J313" s="6">
        <f t="shared" ref="J313:J319" si="447">+F313/F312-1</f>
        <v>7.2217686326974562E-2</v>
      </c>
      <c r="M313" s="12">
        <v>1164874</v>
      </c>
    </row>
    <row r="314" spans="1:13" x14ac:dyDescent="0.2">
      <c r="A314" s="1">
        <v>45323</v>
      </c>
      <c r="B314" s="14">
        <v>240</v>
      </c>
      <c r="C314" s="2">
        <v>261.31763861884201</v>
      </c>
      <c r="E314" s="3">
        <f t="shared" si="440"/>
        <v>94.992028328004977</v>
      </c>
      <c r="F314" s="3">
        <f t="shared" si="443"/>
        <v>103.77587888017563</v>
      </c>
      <c r="H314" s="5" t="s">
        <v>0</v>
      </c>
      <c r="I314" s="6">
        <f t="shared" si="444"/>
        <v>4.1841004184099972E-3</v>
      </c>
      <c r="J314" s="6">
        <f t="shared" si="447"/>
        <v>-2.9475358830705178E-2</v>
      </c>
      <c r="M314" s="12">
        <v>1054452</v>
      </c>
    </row>
    <row r="315" spans="1:13" x14ac:dyDescent="0.2">
      <c r="A315" s="1">
        <v>45352</v>
      </c>
      <c r="B315" s="14">
        <v>240</v>
      </c>
      <c r="C315" s="2">
        <v>257.01989467346101</v>
      </c>
      <c r="E315" s="3">
        <f t="shared" si="440"/>
        <v>94.992028328004977</v>
      </c>
      <c r="F315" s="3">
        <f t="shared" si="443"/>
        <v>102.06913547972569</v>
      </c>
      <c r="H315" s="5" t="s">
        <v>1</v>
      </c>
      <c r="I315" s="6">
        <f t="shared" si="444"/>
        <v>-0.18367346938775508</v>
      </c>
      <c r="J315" s="6">
        <f t="shared" si="447"/>
        <v>-1.6446436482803639E-2</v>
      </c>
      <c r="M315" s="12">
        <v>1061228</v>
      </c>
    </row>
    <row r="316" spans="1:13" x14ac:dyDescent="0.2">
      <c r="A316" s="1">
        <v>45383</v>
      </c>
      <c r="B316" s="14">
        <v>243</v>
      </c>
      <c r="C316" s="2">
        <v>248.23027311063501</v>
      </c>
      <c r="E316" s="3">
        <f t="shared" si="440"/>
        <v>96.179428682105041</v>
      </c>
      <c r="F316" s="3">
        <f t="shared" si="443"/>
        <v>98.578553261367006</v>
      </c>
      <c r="H316" s="5" t="s">
        <v>2</v>
      </c>
      <c r="I316" s="6">
        <f t="shared" si="444"/>
        <v>-7.9545454545454475E-2</v>
      </c>
      <c r="J316" s="6">
        <f t="shared" si="447"/>
        <v>-3.4198214787976022E-2</v>
      </c>
      <c r="M316" s="12">
        <v>1076482</v>
      </c>
    </row>
    <row r="317" spans="1:13" x14ac:dyDescent="0.2">
      <c r="A317" s="1">
        <v>45413</v>
      </c>
      <c r="B317" s="14">
        <v>268</v>
      </c>
      <c r="C317" s="2">
        <v>259.68235968008503</v>
      </c>
      <c r="E317" s="3">
        <f t="shared" si="440"/>
        <v>106.07443163293888</v>
      </c>
      <c r="F317" s="3">
        <f t="shared" si="443"/>
        <v>103.12646803297569</v>
      </c>
      <c r="H317" s="5" t="s">
        <v>1</v>
      </c>
      <c r="I317" s="6">
        <f t="shared" si="444"/>
        <v>-7.5862068965517282E-2</v>
      </c>
      <c r="J317" s="6">
        <f t="shared" si="447"/>
        <v>4.6134931190870088E-2</v>
      </c>
      <c r="M317" s="12">
        <v>1176456</v>
      </c>
    </row>
    <row r="318" spans="1:13" x14ac:dyDescent="0.2">
      <c r="A318" s="1">
        <v>45444</v>
      </c>
      <c r="B318" s="14">
        <v>233</v>
      </c>
      <c r="C318" s="2">
        <v>244.74646710830999</v>
      </c>
      <c r="E318" s="3">
        <f>+B318/AVERAGE(B$73:B$84)*100</f>
        <v>92.221427501771487</v>
      </c>
      <c r="F318" s="3">
        <f t="shared" si="443"/>
        <v>97.195045314294802</v>
      </c>
      <c r="H318" s="5" t="s">
        <v>3</v>
      </c>
      <c r="I318" s="6">
        <f t="shared" si="444"/>
        <v>-0.21812080536912759</v>
      </c>
      <c r="J318" s="6">
        <f t="shared" si="447"/>
        <v>-5.7516007595492025E-2</v>
      </c>
      <c r="M318" s="12">
        <v>1030503</v>
      </c>
    </row>
    <row r="319" spans="1:13" x14ac:dyDescent="0.2">
      <c r="A319" s="1">
        <v>45474</v>
      </c>
      <c r="B319" s="14">
        <v>290</v>
      </c>
      <c r="C319" s="2">
        <v>265.96246164089303</v>
      </c>
      <c r="E319" s="3">
        <f t="shared" si="440"/>
        <v>114.78203422967267</v>
      </c>
      <c r="F319" s="3">
        <f t="shared" si="443"/>
        <v>105.62045620723195</v>
      </c>
      <c r="H319" s="5" t="s">
        <v>3</v>
      </c>
      <c r="I319" s="6">
        <f t="shared" si="444"/>
        <v>-3.4364261168385868E-3</v>
      </c>
      <c r="J319" s="6">
        <f t="shared" si="447"/>
        <v>8.6685600749424108E-2</v>
      </c>
      <c r="M319" s="12">
        <v>1262239</v>
      </c>
    </row>
    <row r="320" spans="1:13" x14ac:dyDescent="0.2">
      <c r="A320" s="1">
        <v>45505</v>
      </c>
      <c r="B320" s="14">
        <v>280</v>
      </c>
      <c r="C320" s="2">
        <v>266.28207521310998</v>
      </c>
      <c r="E320" s="3">
        <f t="shared" ref="E320:F323" si="448">+B320/AVERAGE(B$73:B$84)*100</f>
        <v>110.82403304933915</v>
      </c>
      <c r="F320" s="3">
        <f t="shared" si="448"/>
        <v>105.74738288364827</v>
      </c>
      <c r="H320" s="5" t="s">
        <v>2</v>
      </c>
      <c r="I320" s="6">
        <f t="shared" ref="I320:I325" si="449">+E320/E308-1</f>
        <v>0</v>
      </c>
      <c r="J320" s="6">
        <f t="shared" ref="J320:J325" si="450">+F320/F319-1</f>
        <v>1.2017243720978676E-3</v>
      </c>
      <c r="M320" s="12">
        <v>1213205</v>
      </c>
    </row>
    <row r="321" spans="1:13" x14ac:dyDescent="0.2">
      <c r="A321" s="1">
        <v>45536</v>
      </c>
      <c r="B321" s="14">
        <v>279</v>
      </c>
      <c r="C321" s="2">
        <v>275.34092058251798</v>
      </c>
      <c r="E321" s="3">
        <f t="shared" si="448"/>
        <v>110.42823293130579</v>
      </c>
      <c r="F321" s="3">
        <f t="shared" si="448"/>
        <v>109.34488072121728</v>
      </c>
      <c r="H321" s="5" t="s">
        <v>4</v>
      </c>
      <c r="I321" s="6">
        <f t="shared" si="449"/>
        <v>4.4943820224719211E-2</v>
      </c>
      <c r="J321" s="6">
        <f t="shared" si="450"/>
        <v>3.4019734006346614E-2</v>
      </c>
      <c r="M321" s="12">
        <v>1209133</v>
      </c>
    </row>
    <row r="322" spans="1:13" x14ac:dyDescent="0.2">
      <c r="A322" s="1">
        <v>45566</v>
      </c>
      <c r="B322" s="14">
        <v>293</v>
      </c>
      <c r="C322" s="2">
        <v>277.75612993927598</v>
      </c>
      <c r="E322" s="3">
        <f t="shared" si="448"/>
        <v>115.96943458377274</v>
      </c>
      <c r="F322" s="3">
        <f t="shared" si="448"/>
        <v>110.30402176887833</v>
      </c>
      <c r="H322" s="5" t="s">
        <v>5</v>
      </c>
      <c r="I322" s="6">
        <f t="shared" si="449"/>
        <v>0.12692307692307714</v>
      </c>
      <c r="J322" s="6">
        <f t="shared" si="450"/>
        <v>8.7717050979867484E-3</v>
      </c>
      <c r="M322" s="12">
        <v>1270800</v>
      </c>
    </row>
    <row r="323" spans="1:13" x14ac:dyDescent="0.2">
      <c r="A323" s="1">
        <v>45597</v>
      </c>
      <c r="B323" s="14">
        <v>263</v>
      </c>
      <c r="C323" s="2">
        <v>266.670025068938</v>
      </c>
      <c r="E323" s="3">
        <f t="shared" si="448"/>
        <v>104.09543104277212</v>
      </c>
      <c r="F323" s="3">
        <f t="shared" si="448"/>
        <v>105.90144763588918</v>
      </c>
      <c r="H323" s="5" t="s">
        <v>6</v>
      </c>
      <c r="I323" s="6">
        <f t="shared" si="449"/>
        <v>-7.7192982456140258E-2</v>
      </c>
      <c r="J323" s="6">
        <f t="shared" si="450"/>
        <v>-3.9913088048719736E-2</v>
      </c>
    </row>
    <row r="324" spans="1:13" x14ac:dyDescent="0.2">
      <c r="A324" s="1">
        <v>45627</v>
      </c>
      <c r="B324" s="14">
        <v>280.798</v>
      </c>
      <c r="C324" s="2">
        <v>278.06199718232301</v>
      </c>
      <c r="E324" s="3">
        <f t="shared" ref="E324:E325" si="451">+B324/AVERAGE(B$73:B$84)*100</f>
        <v>111.13988154352977</v>
      </c>
      <c r="F324" s="3">
        <f t="shared" ref="F324:F325" si="452">+C324/AVERAGE(C$73:C$84)*100</f>
        <v>110.42548942845012</v>
      </c>
      <c r="H324" s="5" t="s">
        <v>7</v>
      </c>
      <c r="I324" s="6">
        <f t="shared" si="449"/>
        <v>0.14145528455284584</v>
      </c>
      <c r="J324" s="6">
        <f t="shared" si="450"/>
        <v>4.2719357417242421E-2</v>
      </c>
    </row>
    <row r="325" spans="1:13" x14ac:dyDescent="0.2">
      <c r="A325" s="1">
        <v>45658</v>
      </c>
      <c r="B325" s="14">
        <v>265</v>
      </c>
      <c r="C325" s="2">
        <v>264.61782202762799</v>
      </c>
      <c r="E325" s="3">
        <f t="shared" si="451"/>
        <v>104.88703127883883</v>
      </c>
      <c r="F325" s="3">
        <f t="shared" si="452"/>
        <v>105.08646562633889</v>
      </c>
      <c r="H325" s="5" t="s">
        <v>38</v>
      </c>
      <c r="I325" s="6">
        <f t="shared" si="449"/>
        <v>-1.1194029850746134E-2</v>
      </c>
      <c r="J325" s="6">
        <f t="shared" si="450"/>
        <v>-4.8349559777777884E-2</v>
      </c>
    </row>
    <row r="326" spans="1:13" x14ac:dyDescent="0.2">
      <c r="A326" s="1">
        <v>45689</v>
      </c>
      <c r="B326" s="14">
        <v>235</v>
      </c>
      <c r="C326" s="2">
        <v>262.75931463007299</v>
      </c>
      <c r="E326" s="3">
        <f t="shared" ref="E326" si="453">+B326/AVERAGE(B$73:B$84)*100</f>
        <v>93.0130277378382</v>
      </c>
      <c r="F326" s="3">
        <f t="shared" ref="F326" si="454">+C326/AVERAGE(C$73:C$84)*100</f>
        <v>104.34840508206811</v>
      </c>
      <c r="H326" s="5" t="s">
        <v>0</v>
      </c>
      <c r="I326" s="6">
        <f t="shared" ref="I326:I328" si="455">+E326/E314-1</f>
        <v>-2.083333333333337E-2</v>
      </c>
      <c r="J326" s="6">
        <f t="shared" ref="J326:J328" si="456">+F326/F325-1</f>
        <v>-7.0233644253974159E-3</v>
      </c>
    </row>
    <row r="327" spans="1:13" x14ac:dyDescent="0.2">
      <c r="A327" s="1">
        <v>45717</v>
      </c>
      <c r="B327" s="14">
        <v>234.006</v>
      </c>
      <c r="C327" s="2">
        <v>245.38870648026699</v>
      </c>
      <c r="E327" s="3">
        <f t="shared" ref="E327:E336" si="457">+B327/AVERAGE(B$73:B$84)*100</f>
        <v>92.619602420513047</v>
      </c>
      <c r="F327" s="3">
        <f t="shared" ref="F327:F336" si="458">+C327/AVERAGE(C$73:C$84)*100</f>
        <v>97.450094899269459</v>
      </c>
      <c r="H327" s="5" t="s">
        <v>1</v>
      </c>
      <c r="I327" s="6">
        <f t="shared" si="455"/>
        <v>-2.497500000000008E-2</v>
      </c>
      <c r="J327" s="6">
        <f t="shared" si="456"/>
        <v>-6.6108439102382621E-2</v>
      </c>
    </row>
    <row r="328" spans="1:13" x14ac:dyDescent="0.2">
      <c r="A328" s="1">
        <v>45748</v>
      </c>
      <c r="B328" s="14">
        <v>257.04000000000002</v>
      </c>
      <c r="C328" s="2">
        <v>270.06202044915898</v>
      </c>
      <c r="E328" s="3">
        <f t="shared" si="457"/>
        <v>101.73646233929334</v>
      </c>
      <c r="F328" s="3">
        <f t="shared" si="458"/>
        <v>107.24849525043372</v>
      </c>
      <c r="H328" s="5" t="s">
        <v>2</v>
      </c>
      <c r="I328" s="6">
        <f t="shared" si="455"/>
        <v>5.7777777777777928E-2</v>
      </c>
      <c r="J328" s="6">
        <f t="shared" si="456"/>
        <v>0.10054787900712148</v>
      </c>
    </row>
    <row r="329" spans="1:13" x14ac:dyDescent="0.2">
      <c r="A329" s="1">
        <v>45778</v>
      </c>
      <c r="B329" s="14">
        <v>259.68200000000002</v>
      </c>
      <c r="C329" s="2">
        <v>259.92254165896099</v>
      </c>
      <c r="E329" s="3">
        <f t="shared" si="457"/>
        <v>102.78216625113745</v>
      </c>
      <c r="F329" s="3">
        <f t="shared" si="458"/>
        <v>103.22185040395063</v>
      </c>
      <c r="H329" s="5" t="s">
        <v>1</v>
      </c>
      <c r="I329" s="6">
        <f t="shared" ref="I329" si="459">+E329/E317-1</f>
        <v>-3.1037313432835667E-2</v>
      </c>
      <c r="J329" s="6">
        <f t="shared" ref="J329" si="460">+F329/F328-1</f>
        <v>-3.754500086067003E-2</v>
      </c>
    </row>
    <row r="330" spans="1:13" x14ac:dyDescent="0.2">
      <c r="A330" s="1">
        <v>45809</v>
      </c>
      <c r="B330" s="14">
        <v>260.30399999999997</v>
      </c>
      <c r="C330" s="2">
        <v>263.90292319513497</v>
      </c>
      <c r="E330" s="3">
        <f t="shared" si="457"/>
        <v>103.02835392455418</v>
      </c>
      <c r="F330" s="3">
        <f t="shared" si="458"/>
        <v>104.80256112205633</v>
      </c>
      <c r="H330" s="5" t="s">
        <v>3</v>
      </c>
      <c r="I330" s="6">
        <f t="shared" ref="I330" si="461">+E330/E318-1</f>
        <v>0.11718454935622313</v>
      </c>
      <c r="J330" s="6">
        <f t="shared" ref="J330" si="462">+F330/F329-1</f>
        <v>1.5313721967971983E-2</v>
      </c>
    </row>
    <row r="331" spans="1:13" x14ac:dyDescent="0.2">
      <c r="A331" s="1">
        <v>45839</v>
      </c>
      <c r="B331" s="14">
        <v>290.60700000000003</v>
      </c>
      <c r="C331" s="2">
        <v>265.41002516245101</v>
      </c>
      <c r="E331" s="3">
        <f t="shared" si="457"/>
        <v>115.02228490131894</v>
      </c>
      <c r="F331" s="3">
        <f t="shared" si="458"/>
        <v>105.40106963471125</v>
      </c>
      <c r="H331" s="5" t="s">
        <v>3</v>
      </c>
      <c r="I331" s="6">
        <f t="shared" ref="I331" si="463">+E331/E319-1</f>
        <v>2.093103448276068E-3</v>
      </c>
      <c r="J331" s="6">
        <f t="shared" ref="J331" si="464">+F331/F330-1</f>
        <v>5.7108195281398988E-3</v>
      </c>
    </row>
    <row r="332" spans="1:13" x14ac:dyDescent="0.2">
      <c r="A332" s="1">
        <v>45870</v>
      </c>
      <c r="B332" s="14">
        <v>270.798</v>
      </c>
      <c r="C332" s="2">
        <v>266.183874245222</v>
      </c>
      <c r="E332" s="3">
        <f t="shared" si="457"/>
        <v>107.1818803631962</v>
      </c>
      <c r="F332" s="3">
        <f t="shared" si="458"/>
        <v>105.708384782321</v>
      </c>
      <c r="H332" s="5" t="s">
        <v>2</v>
      </c>
      <c r="I332" s="6">
        <f t="shared" ref="I332:I333" si="465">+E332/E320-1</f>
        <v>-3.2864285714285901E-2</v>
      </c>
      <c r="J332" s="6">
        <f t="shared" ref="J332:J333" si="466">+F332/F331-1</f>
        <v>2.9156738985174346E-3</v>
      </c>
    </row>
    <row r="333" spans="1:13" x14ac:dyDescent="0.2">
      <c r="A333" s="1">
        <v>45901</v>
      </c>
      <c r="B333" s="14">
        <v>271.19799999999998</v>
      </c>
      <c r="C333" s="2">
        <v>258.708152990408</v>
      </c>
      <c r="E333" s="3">
        <f t="shared" si="457"/>
        <v>107.34020041040955</v>
      </c>
      <c r="F333" s="3">
        <f t="shared" si="458"/>
        <v>102.73958578512389</v>
      </c>
      <c r="H333" s="5" t="s">
        <v>4</v>
      </c>
      <c r="I333" s="6">
        <f t="shared" si="465"/>
        <v>-2.7964157706093284E-2</v>
      </c>
      <c r="J333" s="6">
        <f t="shared" si="466"/>
        <v>-2.8084801440402152E-2</v>
      </c>
    </row>
    <row r="334" spans="1:13" x14ac:dyDescent="0.2">
      <c r="A334" s="1">
        <v>45931</v>
      </c>
      <c r="B334" s="14">
        <v>278.57299999999998</v>
      </c>
      <c r="C334" s="2">
        <v>262.06456103764498</v>
      </c>
      <c r="E334" s="3">
        <f t="shared" si="457"/>
        <v>110.25922628090554</v>
      </c>
      <c r="F334" s="3">
        <f t="shared" si="458"/>
        <v>104.07250076485309</v>
      </c>
      <c r="H334" s="5" t="s">
        <v>5</v>
      </c>
      <c r="I334" s="6">
        <f t="shared" ref="I334" si="467">+E334/E322-1</f>
        <v>-4.9238907849829316E-2</v>
      </c>
      <c r="J334" s="6">
        <f t="shared" ref="J334" si="468">+F334/F333-1</f>
        <v>1.2973723512151869E-2</v>
      </c>
    </row>
    <row r="335" spans="1:13" x14ac:dyDescent="0.2">
      <c r="A335" s="1">
        <v>45962</v>
      </c>
      <c r="B335" s="14">
        <v>245.024</v>
      </c>
      <c r="C335" s="2">
        <v>256.93401424178001</v>
      </c>
      <c r="E335" s="3">
        <f t="shared" si="457"/>
        <v>96.980528121004554</v>
      </c>
      <c r="F335" s="3">
        <f t="shared" si="458"/>
        <v>102.03503017660339</v>
      </c>
      <c r="H335" s="5" t="s">
        <v>6</v>
      </c>
      <c r="I335" s="6">
        <f t="shared" ref="I335" si="469">+E335/E323-1</f>
        <v>-6.8349809885931534E-2</v>
      </c>
      <c r="J335" s="6">
        <f t="shared" ref="J335" si="470">+F335/F334-1</f>
        <v>-1.95774154870485E-2</v>
      </c>
    </row>
    <row r="336" spans="1:13" x14ac:dyDescent="0.2">
      <c r="A336" s="1">
        <v>45992</v>
      </c>
      <c r="B336" s="14">
        <v>260.57299999999998</v>
      </c>
      <c r="C336" s="2">
        <v>249.487366923926</v>
      </c>
      <c r="E336" s="3">
        <f t="shared" si="457"/>
        <v>103.13482415630514</v>
      </c>
      <c r="F336" s="3">
        <f t="shared" si="458"/>
        <v>99.077777179042883</v>
      </c>
      <c r="H336" s="5" t="s">
        <v>7</v>
      </c>
      <c r="I336" s="6">
        <f t="shared" ref="I336:I337" si="471">+E336/E324-1</f>
        <v>-7.2026866288221747E-2</v>
      </c>
      <c r="J336" s="6">
        <f t="shared" ref="J336:J337" si="472">+F336/F335-1</f>
        <v>-2.8982722820212414E-2</v>
      </c>
    </row>
    <row r="337" spans="1:16" x14ac:dyDescent="0.2">
      <c r="A337" s="1">
        <v>46023</v>
      </c>
      <c r="B337" s="14">
        <v>239.05500000000001</v>
      </c>
      <c r="C337" s="2">
        <v>246.794072307563</v>
      </c>
      <c r="E337" s="3">
        <f t="shared" ref="E337:E339" si="473">+B337/AVERAGE(B$73:B$84)*100</f>
        <v>94.617997216463451</v>
      </c>
      <c r="F337" s="3">
        <f t="shared" ref="F337:F339" si="474">+C337/AVERAGE(C$73:C$84)*100</f>
        <v>98.008201403853846</v>
      </c>
      <c r="H337" s="5" t="s">
        <v>40</v>
      </c>
      <c r="I337" s="6">
        <f t="shared" si="471"/>
        <v>-9.7905660377358594E-2</v>
      </c>
      <c r="J337" s="6">
        <f t="shared" si="472"/>
        <v>-1.0795314606788287E-2</v>
      </c>
    </row>
    <row r="338" spans="1:16" x14ac:dyDescent="0.2">
      <c r="A338" s="1">
        <v>46054</v>
      </c>
      <c r="B338" s="14">
        <v>216.715</v>
      </c>
      <c r="C338" s="2">
        <v>245.176127108754</v>
      </c>
      <c r="E338" s="3">
        <f t="shared" si="473"/>
        <v>85.775822579598326</v>
      </c>
      <c r="F338" s="3">
        <f t="shared" si="474"/>
        <v>97.36567422553631</v>
      </c>
      <c r="H338" s="5" t="s">
        <v>0</v>
      </c>
      <c r="I338" s="6">
        <f t="shared" ref="I338:I339" si="475">+E338/E326-1</f>
        <v>-7.7808510638297856E-2</v>
      </c>
      <c r="J338" s="6">
        <f t="shared" ref="J338:J340" si="476">+F338/F337-1</f>
        <v>-6.5558511340283454E-3</v>
      </c>
    </row>
    <row r="339" spans="1:16" x14ac:dyDescent="0.2">
      <c r="A339" s="1">
        <v>46082</v>
      </c>
      <c r="B339" s="14">
        <v>243.27099999999999</v>
      </c>
      <c r="C339" s="2">
        <v>246.41100209717601</v>
      </c>
      <c r="E339" s="3">
        <f t="shared" si="473"/>
        <v>96.286690514092072</v>
      </c>
      <c r="F339" s="3">
        <f t="shared" si="474"/>
        <v>97.856074482893447</v>
      </c>
      <c r="H339" s="5" t="s">
        <v>1</v>
      </c>
      <c r="I339" s="6">
        <f t="shared" si="475"/>
        <v>3.9593001888840407E-2</v>
      </c>
      <c r="J339" s="6">
        <f t="shared" si="476"/>
        <v>5.0366852718668476E-3</v>
      </c>
    </row>
    <row r="340" spans="1:16" x14ac:dyDescent="0.2">
      <c r="A340" s="1">
        <v>46113</v>
      </c>
      <c r="B340" s="14">
        <v>226.053</v>
      </c>
      <c r="C340" s="2">
        <v>239.41535507879101</v>
      </c>
      <c r="E340" s="3">
        <f t="shared" ref="E340" si="477">+B340/AVERAGE(B$73:B$84)*100</f>
        <v>89.471804081793778</v>
      </c>
      <c r="F340" s="3">
        <f t="shared" ref="F340" si="478">+C340/AVERAGE(C$73:C$84)*100</f>
        <v>95.077925171942056</v>
      </c>
      <c r="H340" s="5" t="s">
        <v>2</v>
      </c>
      <c r="I340" s="6">
        <f>+E340/E328-1</f>
        <v>-0.12055322128851553</v>
      </c>
      <c r="J340" s="6">
        <f t="shared" si="476"/>
        <v>-2.8390156928245203E-2</v>
      </c>
    </row>
    <row r="341" spans="1:16" x14ac:dyDescent="0.2">
      <c r="A341" s="1">
        <v>46143</v>
      </c>
      <c r="B341" s="14">
        <v>239.803</v>
      </c>
      <c r="C341" s="2">
        <v>249.20378098203901</v>
      </c>
      <c r="E341" s="3">
        <f t="shared" ref="E341" si="479">+B341/AVERAGE(B$73:B$84)*100</f>
        <v>94.9140557047524</v>
      </c>
      <c r="F341" s="3">
        <f t="shared" ref="F341" si="480">+C341/AVERAGE(C$73:C$84)*100</f>
        <v>98.965157990713564</v>
      </c>
      <c r="H341" s="5" t="s">
        <v>1</v>
      </c>
      <c r="I341" s="6">
        <f>+E341/E329-1</f>
        <v>-7.6551320461179517E-2</v>
      </c>
      <c r="J341" s="6">
        <f t="shared" ref="J341" si="481">+F341/F340-1</f>
        <v>4.08847039072604E-2</v>
      </c>
    </row>
    <row r="342" spans="1:16" x14ac:dyDescent="0.2">
      <c r="B342" s="15">
        <f>+AVERAGE(B337:B341)/AVERAGE(B325:B329)-1</f>
        <v>-6.8624832897320576E-2</v>
      </c>
      <c r="C342" s="15">
        <f>+C341/C336-1</f>
        <v>-1.1366745554434177E-3</v>
      </c>
    </row>
    <row r="345" spans="1:16" x14ac:dyDescent="0.2">
      <c r="E345" s="15">
        <v>-1.1194029850746134E-2</v>
      </c>
      <c r="F345" s="15">
        <v>-5.2829561857887453E-2</v>
      </c>
      <c r="G345" s="15">
        <v>-2.083333333333337E-2</v>
      </c>
      <c r="H345" s="15">
        <v>-1.0516828573084336E-2</v>
      </c>
      <c r="I345" s="15">
        <v>-2.497500000000008E-2</v>
      </c>
      <c r="J345" s="15">
        <v>-5.1864149415102978E-2</v>
      </c>
      <c r="K345" s="15">
        <v>5.7777777777777928E-2</v>
      </c>
      <c r="L345" s="15">
        <v>7.7384413530262819E-2</v>
      </c>
    </row>
    <row r="349" spans="1:16" x14ac:dyDescent="0.2">
      <c r="E349" s="6">
        <v>0.14145528455284584</v>
      </c>
      <c r="F349" s="6">
        <v>3.728973177292727E-2</v>
      </c>
      <c r="G349" s="6">
        <v>-1.1194029850746134E-2</v>
      </c>
      <c r="H349" s="6">
        <v>-5.2421283915955907E-2</v>
      </c>
      <c r="I349" s="6">
        <v>-2.083333333333337E-2</v>
      </c>
      <c r="J349" s="6">
        <v>-1.026894222933572E-2</v>
      </c>
      <c r="K349" s="6">
        <v>-2.497500000000008E-2</v>
      </c>
      <c r="L349" s="6">
        <v>-5.5174700092470719E-2</v>
      </c>
      <c r="M349" s="6">
        <v>5.7777777777777928E-2</v>
      </c>
      <c r="N349" s="6">
        <v>8.11256448319706E-2</v>
      </c>
      <c r="O349" s="6">
        <v>-3.1037313432835667E-2</v>
      </c>
      <c r="P349" s="6">
        <v>-2.3881135149525834E-2</v>
      </c>
    </row>
    <row r="359" spans="5:15" x14ac:dyDescent="0.2">
      <c r="E359" s="4">
        <v>-2.497500000000008E-2</v>
      </c>
      <c r="F359" s="4">
        <v>-5.7434975034387659E-2</v>
      </c>
      <c r="G359" s="4">
        <v>5.7777777777777928E-2</v>
      </c>
      <c r="H359" s="4">
        <v>8.3631559839750347E-2</v>
      </c>
      <c r="I359" s="4">
        <v>-3.1037313432835667E-2</v>
      </c>
      <c r="J359" s="4">
        <v>-2.4204902635122205E-2</v>
      </c>
      <c r="K359" s="4">
        <v>0.11718454935622313</v>
      </c>
      <c r="L359" s="4">
        <v>4.0490234030876593E-3</v>
      </c>
    </row>
    <row r="365" spans="5:15" x14ac:dyDescent="0.2">
      <c r="F365" s="4">
        <v>-2.497500000000008E-2</v>
      </c>
      <c r="G365" s="4">
        <v>-5.6282073931058219E-2</v>
      </c>
      <c r="H365" s="4">
        <v>5.7777777777777928E-2</v>
      </c>
      <c r="I365" s="4">
        <v>8.3876713617075049E-2</v>
      </c>
      <c r="J365" s="4">
        <v>-3.1037313432835667E-2</v>
      </c>
      <c r="K365" s="4">
        <v>-2.3253085430470555E-2</v>
      </c>
      <c r="L365" s="4">
        <v>0.11718454935622313</v>
      </c>
      <c r="M365" s="4">
        <v>5.5668991016459834E-3</v>
      </c>
      <c r="N365" s="4">
        <v>2.093103448276068E-3</v>
      </c>
      <c r="O365" s="4">
        <v>1.6010416756633283E-2</v>
      </c>
    </row>
    <row r="375" spans="5:22" x14ac:dyDescent="0.2">
      <c r="E375" s="6">
        <v>-1.1194029850746134E-2</v>
      </c>
      <c r="F375" s="6">
        <v>-5.1344540433954755E-2</v>
      </c>
      <c r="G375" s="6">
        <v>-2.083333333333337E-2</v>
      </c>
      <c r="H375" s="6">
        <v>-9.862901927384482E-3</v>
      </c>
      <c r="I375" s="6">
        <v>-2.497500000000008E-2</v>
      </c>
      <c r="J375" s="6">
        <v>-5.6978918108571586E-2</v>
      </c>
      <c r="K375" s="6">
        <v>5.7777777777777928E-2</v>
      </c>
      <c r="L375" s="6">
        <v>8.4008241159054808E-2</v>
      </c>
      <c r="M375" s="6">
        <v>-3.1037313432835667E-2</v>
      </c>
      <c r="N375" s="6">
        <v>-2.4109790997156044E-2</v>
      </c>
      <c r="O375" s="6">
        <v>0.11718454935622313</v>
      </c>
      <c r="P375" s="6">
        <v>5.4614859747599276E-3</v>
      </c>
      <c r="Q375" s="6">
        <v>2.093103448276068E-3</v>
      </c>
      <c r="R375" s="6">
        <v>1.6287067294347812E-2</v>
      </c>
      <c r="S375" s="6">
        <v>-3.2864285714285901E-2</v>
      </c>
      <c r="T375" s="6">
        <v>7.4746368325979695E-3</v>
      </c>
      <c r="U375" s="6">
        <v>-2.7964157706093284E-2</v>
      </c>
      <c r="V375" s="6">
        <v>-2.8470930506898862E-2</v>
      </c>
    </row>
    <row r="386" spans="6:13" x14ac:dyDescent="0.2">
      <c r="F386" s="4">
        <v>2.093103448276068E-3</v>
      </c>
      <c r="G386" s="4">
        <v>1.0291844866385347E-2</v>
      </c>
      <c r="H386" s="4">
        <v>-3.2864285714285901E-2</v>
      </c>
      <c r="I386" s="4">
        <v>4.3861173882369098E-3</v>
      </c>
      <c r="J386" s="4">
        <v>-2.7964157706093284E-2</v>
      </c>
      <c r="K386" s="4">
        <v>-2.4183255043857432E-2</v>
      </c>
      <c r="L386" s="4">
        <v>-4.9238907849829316E-2</v>
      </c>
      <c r="M386" s="4">
        <v>1.5692850085894605E-2</v>
      </c>
    </row>
    <row r="399" spans="6:13" x14ac:dyDescent="0.2">
      <c r="F399" s="4">
        <v>-3.2864285714285901E-2</v>
      </c>
      <c r="G399" s="4">
        <v>1.5014654880609601E-3</v>
      </c>
      <c r="H399" s="4">
        <v>-2.7964157706093284E-2</v>
      </c>
      <c r="I399" s="4">
        <v>-2.2094729072721697E-2</v>
      </c>
      <c r="J399" s="4">
        <v>-4.9238907849829316E-2</v>
      </c>
      <c r="K399" s="4">
        <v>1.5677984356709862E-2</v>
      </c>
      <c r="L399" s="4">
        <v>-6.8349809885931534E-2</v>
      </c>
      <c r="M399" s="4">
        <v>-1.5157520219967302E-2</v>
      </c>
    </row>
    <row r="404" spans="6:13" x14ac:dyDescent="0.2">
      <c r="F404" s="4">
        <v>-2.7964157706093284E-2</v>
      </c>
      <c r="G404" s="4">
        <v>-2.3757678913897351E-2</v>
      </c>
      <c r="H404" s="4">
        <v>-4.9238907849829316E-2</v>
      </c>
      <c r="I404" s="4">
        <v>1.4627464523504274E-2</v>
      </c>
      <c r="J404" s="4">
        <v>-6.8349809885931534E-2</v>
      </c>
      <c r="K404" s="4">
        <v>-1.7046709302830809E-2</v>
      </c>
      <c r="L404" s="4">
        <v>-7.2026866288221747E-2</v>
      </c>
      <c r="M404" s="4">
        <v>-2.7922699442623489E-2</v>
      </c>
    </row>
    <row r="411" spans="6:13" x14ac:dyDescent="0.2">
      <c r="F411" s="4">
        <v>-9.7905660377358594E-2</v>
      </c>
      <c r="G411" s="4">
        <v>-1.165463897245389E-2</v>
      </c>
      <c r="H411" s="4">
        <v>-7.7808510638297856E-2</v>
      </c>
      <c r="I411" s="4">
        <v>-8.2950747219572296E-3</v>
      </c>
      <c r="J411" s="4">
        <v>3.9593001888840407E-2</v>
      </c>
      <c r="K411" s="4">
        <v>3.8993374599678443E-3</v>
      </c>
      <c r="L411" s="4">
        <v>-0.12055322128851553</v>
      </c>
      <c r="M411" s="4">
        <v>-2.9364766253594188E-2</v>
      </c>
    </row>
    <row r="424" spans="7:16" x14ac:dyDescent="0.2">
      <c r="G424" s="4">
        <v>-2.7964157706093284E-2</v>
      </c>
      <c r="H424" s="4">
        <v>-2.6741504692510354E-2</v>
      </c>
      <c r="I424" s="4">
        <v>-4.9238907849829316E-2</v>
      </c>
      <c r="J424" s="4">
        <v>1.3706762339075196E-2</v>
      </c>
      <c r="K424" s="4">
        <v>-6.8349809885931534E-2</v>
      </c>
      <c r="L424" s="4">
        <v>-1.8772264340985334E-2</v>
      </c>
      <c r="M424" s="4">
        <v>-7.2026866288221747E-2</v>
      </c>
      <c r="N424" s="4">
        <v>-2.9554886548860182E-2</v>
      </c>
      <c r="O424" s="4">
        <v>-9.7905660377358594E-2</v>
      </c>
      <c r="P424" s="4">
        <v>-1.0013940790919329E-2</v>
      </c>
    </row>
    <row r="443" spans="6:13" x14ac:dyDescent="0.2">
      <c r="F443" s="4">
        <v>-6.8349809885931534E-2</v>
      </c>
      <c r="G443" s="4">
        <v>-1.9268921060577759E-2</v>
      </c>
      <c r="H443" s="4">
        <v>-7.2026866288221747E-2</v>
      </c>
      <c r="I443" s="4">
        <v>-3.0301806818382238E-2</v>
      </c>
      <c r="J443" s="4">
        <v>-9.7905660377358594E-2</v>
      </c>
      <c r="K443" s="4">
        <v>-1.0987972988029893E-2</v>
      </c>
      <c r="L443" s="4">
        <v>-7.7808510638297856E-2</v>
      </c>
      <c r="M443" s="4">
        <v>-7.9209507871602636E-3</v>
      </c>
    </row>
    <row r="453" spans="6:13" x14ac:dyDescent="0.2">
      <c r="F453" s="15">
        <v>-7.2026866288221747E-2</v>
      </c>
      <c r="G453" s="15">
        <v>-3.0120802492845322E-2</v>
      </c>
      <c r="H453" s="15">
        <v>-9.7905660377358594E-2</v>
      </c>
      <c r="I453" s="15">
        <v>-1.1083749821772515E-2</v>
      </c>
      <c r="J453" s="15">
        <v>-7.7808510638297856E-2</v>
      </c>
      <c r="K453" s="15">
        <v>-7.6470657563914024E-3</v>
      </c>
      <c r="L453" s="15">
        <v>3.9593001888840407E-2</v>
      </c>
      <c r="M453" s="15">
        <v>6.2726589857222681E-3</v>
      </c>
    </row>
    <row r="471" spans="7:14" x14ac:dyDescent="0.2">
      <c r="G471" s="4">
        <v>-7.7808510638297856E-2</v>
      </c>
      <c r="H471" s="4">
        <v>-6.5558511340283454E-3</v>
      </c>
      <c r="I471" s="4">
        <v>3.9593001888840407E-2</v>
      </c>
      <c r="J471" s="4">
        <v>5.0366852718668476E-3</v>
      </c>
      <c r="K471" s="4">
        <v>-0.12055322128851553</v>
      </c>
      <c r="L471" s="4">
        <v>-2.8390156928245203E-2</v>
      </c>
      <c r="M471" s="4">
        <v>-7.6551320461179517E-2</v>
      </c>
      <c r="N471" s="4">
        <v>4.08847039072604E-2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8DBD-D822-43A8-91EC-6927849AA64F}">
  <dimension ref="A1:C342"/>
  <sheetViews>
    <sheetView topLeftCell="A324" workbookViewId="0">
      <selection activeCell="C342" sqref="C2:C342"/>
    </sheetView>
  </sheetViews>
  <sheetFormatPr baseColWidth="10" defaultRowHeight="15" x14ac:dyDescent="0.25"/>
  <sheetData>
    <row r="1" spans="1:3" ht="42.75" x14ac:dyDescent="0.25">
      <c r="A1" s="9" t="s">
        <v>30</v>
      </c>
      <c r="B1" s="9" t="s">
        <v>31</v>
      </c>
      <c r="C1" s="9" t="s">
        <v>32</v>
      </c>
    </row>
    <row r="2" spans="1:3" x14ac:dyDescent="0.25">
      <c r="A2" s="10">
        <v>1998</v>
      </c>
      <c r="B2" s="10">
        <v>1</v>
      </c>
      <c r="C2" s="10">
        <v>209.09226038897199</v>
      </c>
    </row>
    <row r="3" spans="1:3" x14ac:dyDescent="0.25">
      <c r="A3" s="10">
        <v>1998</v>
      </c>
      <c r="B3" s="10">
        <v>2</v>
      </c>
      <c r="C3" s="10">
        <v>206.630260865596</v>
      </c>
    </row>
    <row r="4" spans="1:3" x14ac:dyDescent="0.25">
      <c r="A4" s="10">
        <v>1998</v>
      </c>
      <c r="B4" s="10">
        <v>3</v>
      </c>
      <c r="C4" s="10">
        <v>205.51006830308799</v>
      </c>
    </row>
    <row r="5" spans="1:3" x14ac:dyDescent="0.25">
      <c r="A5" s="10">
        <v>1998</v>
      </c>
      <c r="B5" s="10">
        <v>4</v>
      </c>
      <c r="C5" s="10">
        <v>208.14690261177299</v>
      </c>
    </row>
    <row r="6" spans="1:3" x14ac:dyDescent="0.25">
      <c r="A6" s="10">
        <v>1998</v>
      </c>
      <c r="B6" s="10">
        <v>5</v>
      </c>
      <c r="C6" s="10">
        <v>206.82577875017799</v>
      </c>
    </row>
    <row r="7" spans="1:3" x14ac:dyDescent="0.25">
      <c r="A7" s="10">
        <v>1998</v>
      </c>
      <c r="B7" s="10">
        <v>6</v>
      </c>
      <c r="C7" s="10">
        <v>198.808609520342</v>
      </c>
    </row>
    <row r="8" spans="1:3" x14ac:dyDescent="0.25">
      <c r="A8" s="10">
        <v>1998</v>
      </c>
      <c r="B8" s="10">
        <v>7</v>
      </c>
      <c r="C8" s="10">
        <v>186.57523695387201</v>
      </c>
    </row>
    <row r="9" spans="1:3" x14ac:dyDescent="0.25">
      <c r="A9" s="10">
        <v>1998</v>
      </c>
      <c r="B9" s="10">
        <v>8</v>
      </c>
      <c r="C9" s="10">
        <v>203.958308588938</v>
      </c>
    </row>
    <row r="10" spans="1:3" x14ac:dyDescent="0.25">
      <c r="A10" s="10">
        <v>1998</v>
      </c>
      <c r="B10" s="10">
        <v>9</v>
      </c>
      <c r="C10" s="10">
        <v>201.89678798144001</v>
      </c>
    </row>
    <row r="11" spans="1:3" x14ac:dyDescent="0.25">
      <c r="A11" s="10">
        <v>1998</v>
      </c>
      <c r="B11" s="10">
        <v>10</v>
      </c>
      <c r="C11" s="10">
        <v>208.57165132936899</v>
      </c>
    </row>
    <row r="12" spans="1:3" x14ac:dyDescent="0.25">
      <c r="A12" s="10">
        <v>1998</v>
      </c>
      <c r="B12" s="10">
        <v>11</v>
      </c>
      <c r="C12" s="10">
        <v>213.62573185601099</v>
      </c>
    </row>
    <row r="13" spans="1:3" x14ac:dyDescent="0.25">
      <c r="A13" s="10">
        <v>1998</v>
      </c>
      <c r="B13" s="10">
        <v>12</v>
      </c>
      <c r="C13" s="10">
        <v>217.474934180959</v>
      </c>
    </row>
    <row r="14" spans="1:3" x14ac:dyDescent="0.25">
      <c r="A14" s="10">
        <v>1999</v>
      </c>
      <c r="B14" s="10">
        <v>1</v>
      </c>
      <c r="C14" s="10">
        <v>218.01843825299201</v>
      </c>
    </row>
    <row r="15" spans="1:3" x14ac:dyDescent="0.25">
      <c r="A15" s="10">
        <v>1999</v>
      </c>
      <c r="B15" s="10">
        <v>2</v>
      </c>
      <c r="C15" s="10">
        <v>222.33179816990699</v>
      </c>
    </row>
    <row r="16" spans="1:3" x14ac:dyDescent="0.25">
      <c r="A16" s="10">
        <v>1999</v>
      </c>
      <c r="B16" s="10">
        <v>3</v>
      </c>
      <c r="C16" s="10">
        <v>223.53451074604601</v>
      </c>
    </row>
    <row r="17" spans="1:3" x14ac:dyDescent="0.25">
      <c r="A17" s="10">
        <v>1999</v>
      </c>
      <c r="B17" s="10">
        <v>4</v>
      </c>
      <c r="C17" s="10">
        <v>220.055600830667</v>
      </c>
    </row>
    <row r="18" spans="1:3" x14ac:dyDescent="0.25">
      <c r="A18" s="10">
        <v>1999</v>
      </c>
      <c r="B18" s="10">
        <v>5</v>
      </c>
      <c r="C18" s="10">
        <v>236.679832099902</v>
      </c>
    </row>
    <row r="19" spans="1:3" x14ac:dyDescent="0.25">
      <c r="A19" s="10">
        <v>1999</v>
      </c>
      <c r="B19" s="10">
        <v>6</v>
      </c>
      <c r="C19" s="10">
        <v>219.61609830352401</v>
      </c>
    </row>
    <row r="20" spans="1:3" x14ac:dyDescent="0.25">
      <c r="A20" s="10">
        <v>1999</v>
      </c>
      <c r="B20" s="10">
        <v>7</v>
      </c>
      <c r="C20" s="10">
        <v>216.70440035784901</v>
      </c>
    </row>
    <row r="21" spans="1:3" x14ac:dyDescent="0.25">
      <c r="A21" s="10">
        <v>1999</v>
      </c>
      <c r="B21" s="10">
        <v>8</v>
      </c>
      <c r="C21" s="10">
        <v>230.55029533999499</v>
      </c>
    </row>
    <row r="22" spans="1:3" x14ac:dyDescent="0.25">
      <c r="A22" s="10">
        <v>1999</v>
      </c>
      <c r="B22" s="10">
        <v>9</v>
      </c>
      <c r="C22" s="10">
        <v>228.33917256268501</v>
      </c>
    </row>
    <row r="23" spans="1:3" x14ac:dyDescent="0.25">
      <c r="A23" s="10">
        <v>1999</v>
      </c>
      <c r="B23" s="10">
        <v>10</v>
      </c>
      <c r="C23" s="10">
        <v>235.62543546741</v>
      </c>
    </row>
    <row r="24" spans="1:3" x14ac:dyDescent="0.25">
      <c r="A24" s="10">
        <v>1999</v>
      </c>
      <c r="B24" s="10">
        <v>11</v>
      </c>
      <c r="C24" s="10">
        <v>236.81642131448399</v>
      </c>
    </row>
    <row r="25" spans="1:3" x14ac:dyDescent="0.25">
      <c r="A25" s="10">
        <v>1999</v>
      </c>
      <c r="B25" s="10">
        <v>12</v>
      </c>
      <c r="C25" s="10">
        <v>229.306424857037</v>
      </c>
    </row>
    <row r="26" spans="1:3" x14ac:dyDescent="0.25">
      <c r="A26" s="10">
        <v>2000</v>
      </c>
      <c r="B26" s="10">
        <v>1</v>
      </c>
      <c r="C26" s="10">
        <v>236.82047223847201</v>
      </c>
    </row>
    <row r="27" spans="1:3" x14ac:dyDescent="0.25">
      <c r="A27" s="10">
        <v>2000</v>
      </c>
      <c r="B27" s="10">
        <v>2</v>
      </c>
      <c r="C27" s="10">
        <v>228.40139229412699</v>
      </c>
    </row>
    <row r="28" spans="1:3" x14ac:dyDescent="0.25">
      <c r="A28" s="10">
        <v>2000</v>
      </c>
      <c r="B28" s="10">
        <v>3</v>
      </c>
      <c r="C28" s="10">
        <v>233.24074354305799</v>
      </c>
    </row>
    <row r="29" spans="1:3" x14ac:dyDescent="0.25">
      <c r="A29" s="10">
        <v>2000</v>
      </c>
      <c r="B29" s="10">
        <v>4</v>
      </c>
      <c r="C29" s="10">
        <v>226.04745362614699</v>
      </c>
    </row>
    <row r="30" spans="1:3" x14ac:dyDescent="0.25">
      <c r="A30" s="10">
        <v>2000</v>
      </c>
      <c r="B30" s="10">
        <v>5</v>
      </c>
      <c r="C30" s="10">
        <v>227.564247101147</v>
      </c>
    </row>
    <row r="31" spans="1:3" x14ac:dyDescent="0.25">
      <c r="A31" s="10">
        <v>2000</v>
      </c>
      <c r="B31" s="10">
        <v>6</v>
      </c>
      <c r="C31" s="10">
        <v>226.55020280960099</v>
      </c>
    </row>
    <row r="32" spans="1:3" x14ac:dyDescent="0.25">
      <c r="A32" s="10">
        <v>2000</v>
      </c>
      <c r="B32" s="10">
        <v>7</v>
      </c>
      <c r="C32" s="10">
        <v>230.05155458762999</v>
      </c>
    </row>
    <row r="33" spans="1:3" x14ac:dyDescent="0.25">
      <c r="A33" s="10">
        <v>2000</v>
      </c>
      <c r="B33" s="10">
        <v>8</v>
      </c>
      <c r="C33" s="10">
        <v>221.31075613553901</v>
      </c>
    </row>
    <row r="34" spans="1:3" x14ac:dyDescent="0.25">
      <c r="A34" s="10">
        <v>2000</v>
      </c>
      <c r="B34" s="10">
        <v>9</v>
      </c>
      <c r="C34" s="10">
        <v>229.435478719434</v>
      </c>
    </row>
    <row r="35" spans="1:3" x14ac:dyDescent="0.25">
      <c r="A35" s="10">
        <v>2000</v>
      </c>
      <c r="B35" s="10">
        <v>10</v>
      </c>
      <c r="C35" s="10">
        <v>216.02226999586799</v>
      </c>
    </row>
    <row r="36" spans="1:3" x14ac:dyDescent="0.25">
      <c r="A36" s="10">
        <v>2000</v>
      </c>
      <c r="B36" s="10">
        <v>11</v>
      </c>
      <c r="C36" s="10">
        <v>222.81557558037099</v>
      </c>
    </row>
    <row r="37" spans="1:3" x14ac:dyDescent="0.25">
      <c r="A37" s="10">
        <v>2000</v>
      </c>
      <c r="B37" s="10">
        <v>12</v>
      </c>
      <c r="C37" s="10">
        <v>229.861415673133</v>
      </c>
    </row>
    <row r="38" spans="1:3" x14ac:dyDescent="0.25">
      <c r="A38" s="10">
        <v>2001</v>
      </c>
      <c r="B38" s="10">
        <v>1</v>
      </c>
      <c r="C38" s="10">
        <v>218.91254619227001</v>
      </c>
    </row>
    <row r="39" spans="1:3" x14ac:dyDescent="0.25">
      <c r="A39" s="10">
        <v>2001</v>
      </c>
      <c r="B39" s="10">
        <v>2</v>
      </c>
      <c r="C39" s="10">
        <v>228.96073987123401</v>
      </c>
    </row>
    <row r="40" spans="1:3" x14ac:dyDescent="0.25">
      <c r="A40" s="10">
        <v>2001</v>
      </c>
      <c r="B40" s="10">
        <v>3</v>
      </c>
      <c r="C40" s="10">
        <v>207.00304146330501</v>
      </c>
    </row>
    <row r="41" spans="1:3" x14ac:dyDescent="0.25">
      <c r="A41" s="10">
        <v>2001</v>
      </c>
      <c r="B41" s="10">
        <v>4</v>
      </c>
      <c r="C41" s="10">
        <v>212.36693696025</v>
      </c>
    </row>
    <row r="42" spans="1:3" x14ac:dyDescent="0.25">
      <c r="A42" s="10">
        <v>2001</v>
      </c>
      <c r="B42" s="10">
        <v>5</v>
      </c>
      <c r="C42" s="10">
        <v>203.26648297365699</v>
      </c>
    </row>
    <row r="43" spans="1:3" x14ac:dyDescent="0.25">
      <c r="A43" s="10">
        <v>2001</v>
      </c>
      <c r="B43" s="10">
        <v>6</v>
      </c>
      <c r="C43" s="10">
        <v>208.46873467773599</v>
      </c>
    </row>
    <row r="44" spans="1:3" x14ac:dyDescent="0.25">
      <c r="A44" s="10">
        <v>2001</v>
      </c>
      <c r="B44" s="10">
        <v>7</v>
      </c>
      <c r="C44" s="10">
        <v>203.260144406123</v>
      </c>
    </row>
    <row r="45" spans="1:3" x14ac:dyDescent="0.25">
      <c r="A45" s="10">
        <v>2001</v>
      </c>
      <c r="B45" s="10">
        <v>8</v>
      </c>
      <c r="C45" s="10">
        <v>203.56175102678199</v>
      </c>
    </row>
    <row r="46" spans="1:3" x14ac:dyDescent="0.25">
      <c r="A46" s="10">
        <v>2001</v>
      </c>
      <c r="B46" s="10">
        <v>9</v>
      </c>
      <c r="C46" s="10">
        <v>201.08946300413999</v>
      </c>
    </row>
    <row r="47" spans="1:3" x14ac:dyDescent="0.25">
      <c r="A47" s="10">
        <v>2001</v>
      </c>
      <c r="B47" s="10">
        <v>10</v>
      </c>
      <c r="C47" s="10">
        <v>201.19653477121699</v>
      </c>
    </row>
    <row r="48" spans="1:3" x14ac:dyDescent="0.25">
      <c r="A48" s="10">
        <v>2001</v>
      </c>
      <c r="B48" s="10">
        <v>11</v>
      </c>
      <c r="C48" s="10">
        <v>198.83728918294401</v>
      </c>
    </row>
    <row r="49" spans="1:3" x14ac:dyDescent="0.25">
      <c r="A49" s="10">
        <v>2001</v>
      </c>
      <c r="B49" s="10">
        <v>12</v>
      </c>
      <c r="C49" s="10">
        <v>199.06562267962801</v>
      </c>
    </row>
    <row r="50" spans="1:3" x14ac:dyDescent="0.25">
      <c r="A50" s="10">
        <v>2002</v>
      </c>
      <c r="B50" s="10">
        <v>1</v>
      </c>
      <c r="C50" s="10">
        <v>185.791566063809</v>
      </c>
    </row>
    <row r="51" spans="1:3" x14ac:dyDescent="0.25">
      <c r="A51" s="10">
        <v>2002</v>
      </c>
      <c r="B51" s="10">
        <v>2</v>
      </c>
      <c r="C51" s="10">
        <v>213.41361379344801</v>
      </c>
    </row>
    <row r="52" spans="1:3" x14ac:dyDescent="0.25">
      <c r="A52" s="10">
        <v>2002</v>
      </c>
      <c r="B52" s="10">
        <v>3</v>
      </c>
      <c r="C52" s="10">
        <v>216.95759756233599</v>
      </c>
    </row>
    <row r="53" spans="1:3" x14ac:dyDescent="0.25">
      <c r="A53" s="10">
        <v>2002</v>
      </c>
      <c r="B53" s="10">
        <v>4</v>
      </c>
      <c r="C53" s="10">
        <v>220.85367148971</v>
      </c>
    </row>
    <row r="54" spans="1:3" x14ac:dyDescent="0.25">
      <c r="A54" s="10">
        <v>2002</v>
      </c>
      <c r="B54" s="10">
        <v>5</v>
      </c>
      <c r="C54" s="10">
        <v>217.54375507083401</v>
      </c>
    </row>
    <row r="55" spans="1:3" x14ac:dyDescent="0.25">
      <c r="A55" s="10">
        <v>2002</v>
      </c>
      <c r="B55" s="10">
        <v>6</v>
      </c>
      <c r="C55" s="10">
        <v>242.492214981899</v>
      </c>
    </row>
    <row r="56" spans="1:3" x14ac:dyDescent="0.25">
      <c r="A56" s="10">
        <v>2002</v>
      </c>
      <c r="B56" s="10">
        <v>7</v>
      </c>
      <c r="C56" s="10">
        <v>219.28605705358001</v>
      </c>
    </row>
    <row r="57" spans="1:3" x14ac:dyDescent="0.25">
      <c r="A57" s="10">
        <v>2002</v>
      </c>
      <c r="B57" s="10">
        <v>8</v>
      </c>
      <c r="C57" s="10">
        <v>203.93642972199899</v>
      </c>
    </row>
    <row r="58" spans="1:3" x14ac:dyDescent="0.25">
      <c r="A58" s="10">
        <v>2002</v>
      </c>
      <c r="B58" s="10">
        <v>9</v>
      </c>
      <c r="C58" s="10">
        <v>202.804557106635</v>
      </c>
    </row>
    <row r="59" spans="1:3" x14ac:dyDescent="0.25">
      <c r="A59" s="10">
        <v>2002</v>
      </c>
      <c r="B59" s="10">
        <v>10</v>
      </c>
      <c r="C59" s="10">
        <v>197.69456413809601</v>
      </c>
    </row>
    <row r="60" spans="1:3" x14ac:dyDescent="0.25">
      <c r="A60" s="10">
        <v>2002</v>
      </c>
      <c r="B60" s="10">
        <v>11</v>
      </c>
      <c r="C60" s="10">
        <v>199.953805388999</v>
      </c>
    </row>
    <row r="61" spans="1:3" x14ac:dyDescent="0.25">
      <c r="A61" s="10">
        <v>2002</v>
      </c>
      <c r="B61" s="10">
        <v>12</v>
      </c>
      <c r="C61" s="10">
        <v>201.568231552128</v>
      </c>
    </row>
    <row r="62" spans="1:3" x14ac:dyDescent="0.25">
      <c r="A62" s="10">
        <v>2003</v>
      </c>
      <c r="B62" s="10">
        <v>1</v>
      </c>
      <c r="C62" s="10">
        <v>203.542455393626</v>
      </c>
    </row>
    <row r="63" spans="1:3" x14ac:dyDescent="0.25">
      <c r="A63" s="10">
        <v>2003</v>
      </c>
      <c r="B63" s="10">
        <v>2</v>
      </c>
      <c r="C63" s="10">
        <v>205.16727677479199</v>
      </c>
    </row>
    <row r="64" spans="1:3" x14ac:dyDescent="0.25">
      <c r="A64" s="10">
        <v>2003</v>
      </c>
      <c r="B64" s="10">
        <v>3</v>
      </c>
      <c r="C64" s="10">
        <v>207.79630457976899</v>
      </c>
    </row>
    <row r="65" spans="1:3" x14ac:dyDescent="0.25">
      <c r="A65" s="10">
        <v>2003</v>
      </c>
      <c r="B65" s="10">
        <v>4</v>
      </c>
      <c r="C65" s="10">
        <v>222.27762018917301</v>
      </c>
    </row>
    <row r="66" spans="1:3" x14ac:dyDescent="0.25">
      <c r="A66" s="10">
        <v>2003</v>
      </c>
      <c r="B66" s="10">
        <v>5</v>
      </c>
      <c r="C66" s="10">
        <v>215.61500941046299</v>
      </c>
    </row>
    <row r="67" spans="1:3" x14ac:dyDescent="0.25">
      <c r="A67" s="10">
        <v>2003</v>
      </c>
      <c r="B67" s="10">
        <v>6</v>
      </c>
      <c r="C67" s="10">
        <v>219.70928478552801</v>
      </c>
    </row>
    <row r="68" spans="1:3" x14ac:dyDescent="0.25">
      <c r="A68" s="10">
        <v>2003</v>
      </c>
      <c r="B68" s="10">
        <v>7</v>
      </c>
      <c r="C68" s="10">
        <v>221.99865769255899</v>
      </c>
    </row>
    <row r="69" spans="1:3" x14ac:dyDescent="0.25">
      <c r="A69" s="10">
        <v>2003</v>
      </c>
      <c r="B69" s="10">
        <v>8</v>
      </c>
      <c r="C69" s="10">
        <v>226.11987739801501</v>
      </c>
    </row>
    <row r="70" spans="1:3" x14ac:dyDescent="0.25">
      <c r="A70" s="10">
        <v>2003</v>
      </c>
      <c r="B70" s="10">
        <v>9</v>
      </c>
      <c r="C70" s="10">
        <v>228.70845296658601</v>
      </c>
    </row>
    <row r="71" spans="1:3" x14ac:dyDescent="0.25">
      <c r="A71" s="10">
        <v>2003</v>
      </c>
      <c r="B71" s="10">
        <v>10</v>
      </c>
      <c r="C71" s="10">
        <v>231.66011533446601</v>
      </c>
    </row>
    <row r="72" spans="1:3" x14ac:dyDescent="0.25">
      <c r="A72" s="10">
        <v>2003</v>
      </c>
      <c r="B72" s="10">
        <v>11</v>
      </c>
      <c r="C72" s="10">
        <v>236.108349197845</v>
      </c>
    </row>
    <row r="73" spans="1:3" x14ac:dyDescent="0.25">
      <c r="A73" s="10">
        <v>2003</v>
      </c>
      <c r="B73" s="10">
        <v>12</v>
      </c>
      <c r="C73" s="10">
        <v>241.21983874144399</v>
      </c>
    </row>
    <row r="74" spans="1:3" x14ac:dyDescent="0.25">
      <c r="A74" s="10">
        <v>2004</v>
      </c>
      <c r="B74" s="10">
        <v>1</v>
      </c>
      <c r="C74" s="10">
        <v>238.98585253963299</v>
      </c>
    </row>
    <row r="75" spans="1:3" x14ac:dyDescent="0.25">
      <c r="A75" s="10">
        <v>2004</v>
      </c>
      <c r="B75" s="10">
        <v>2</v>
      </c>
      <c r="C75" s="10">
        <v>249.397923157816</v>
      </c>
    </row>
    <row r="76" spans="1:3" x14ac:dyDescent="0.25">
      <c r="A76" s="10">
        <v>2004</v>
      </c>
      <c r="B76" s="10">
        <v>3</v>
      </c>
      <c r="C76" s="10">
        <v>249.49744609036699</v>
      </c>
    </row>
    <row r="77" spans="1:3" x14ac:dyDescent="0.25">
      <c r="A77" s="10">
        <v>2004</v>
      </c>
      <c r="B77" s="10">
        <v>4</v>
      </c>
      <c r="C77" s="10">
        <v>242.42021158200799</v>
      </c>
    </row>
    <row r="78" spans="1:3" x14ac:dyDescent="0.25">
      <c r="A78" s="10">
        <v>2004</v>
      </c>
      <c r="B78" s="10">
        <v>5</v>
      </c>
      <c r="C78" s="10">
        <v>258.20889628988198</v>
      </c>
    </row>
    <row r="79" spans="1:3" x14ac:dyDescent="0.25">
      <c r="A79" s="10">
        <v>2004</v>
      </c>
      <c r="B79" s="10">
        <v>6</v>
      </c>
      <c r="C79" s="10">
        <v>259.48971756947702</v>
      </c>
    </row>
    <row r="80" spans="1:3" x14ac:dyDescent="0.25">
      <c r="A80" s="10">
        <v>2004</v>
      </c>
      <c r="B80" s="10">
        <v>7</v>
      </c>
      <c r="C80" s="10">
        <v>252.97502600443801</v>
      </c>
    </row>
    <row r="81" spans="1:3" x14ac:dyDescent="0.25">
      <c r="A81" s="10">
        <v>2004</v>
      </c>
      <c r="B81" s="10">
        <v>8</v>
      </c>
      <c r="C81" s="10">
        <v>252.043388433415</v>
      </c>
    </row>
    <row r="82" spans="1:3" x14ac:dyDescent="0.25">
      <c r="A82" s="10">
        <v>2004</v>
      </c>
      <c r="B82" s="10">
        <v>9</v>
      </c>
      <c r="C82" s="10">
        <v>250.893991323731</v>
      </c>
    </row>
    <row r="83" spans="1:3" x14ac:dyDescent="0.25">
      <c r="A83" s="10">
        <v>2004</v>
      </c>
      <c r="B83" s="10">
        <v>10</v>
      </c>
      <c r="C83" s="10">
        <v>255.614061589134</v>
      </c>
    </row>
    <row r="84" spans="1:3" x14ac:dyDescent="0.25">
      <c r="A84" s="10">
        <v>2004</v>
      </c>
      <c r="B84" s="10">
        <v>11</v>
      </c>
      <c r="C84" s="10">
        <v>255.60027722018299</v>
      </c>
    </row>
    <row r="85" spans="1:3" x14ac:dyDescent="0.25">
      <c r="A85" s="10">
        <v>2004</v>
      </c>
      <c r="B85" s="10">
        <v>12</v>
      </c>
      <c r="C85" s="10">
        <v>256.58855984425702</v>
      </c>
    </row>
    <row r="86" spans="1:3" x14ac:dyDescent="0.25">
      <c r="A86" s="10">
        <v>2005</v>
      </c>
      <c r="B86" s="10">
        <v>1</v>
      </c>
      <c r="C86" s="10">
        <v>257.13503724843002</v>
      </c>
    </row>
    <row r="87" spans="1:3" x14ac:dyDescent="0.25">
      <c r="A87" s="10">
        <v>2005</v>
      </c>
      <c r="B87" s="10">
        <v>2</v>
      </c>
      <c r="C87" s="10">
        <v>258.990092464687</v>
      </c>
    </row>
    <row r="88" spans="1:3" x14ac:dyDescent="0.25">
      <c r="A88" s="10">
        <v>2005</v>
      </c>
      <c r="B88" s="10">
        <v>3</v>
      </c>
      <c r="C88" s="10">
        <v>242.37312627530099</v>
      </c>
    </row>
    <row r="89" spans="1:3" x14ac:dyDescent="0.25">
      <c r="A89" s="10">
        <v>2005</v>
      </c>
      <c r="B89" s="10">
        <v>4</v>
      </c>
      <c r="C89" s="10">
        <v>281.45440276300099</v>
      </c>
    </row>
    <row r="90" spans="1:3" x14ac:dyDescent="0.25">
      <c r="A90" s="10">
        <v>2005</v>
      </c>
      <c r="B90" s="10">
        <v>5</v>
      </c>
      <c r="C90" s="10">
        <v>279.87770249169102</v>
      </c>
    </row>
    <row r="91" spans="1:3" x14ac:dyDescent="0.25">
      <c r="A91" s="10">
        <v>2005</v>
      </c>
      <c r="B91" s="10">
        <v>6</v>
      </c>
      <c r="C91" s="10">
        <v>263.27194823032403</v>
      </c>
    </row>
    <row r="92" spans="1:3" x14ac:dyDescent="0.25">
      <c r="A92" s="10">
        <v>2005</v>
      </c>
      <c r="B92" s="10">
        <v>7</v>
      </c>
      <c r="C92" s="10">
        <v>261.31295597212397</v>
      </c>
    </row>
    <row r="93" spans="1:3" x14ac:dyDescent="0.25">
      <c r="A93" s="10">
        <v>2005</v>
      </c>
      <c r="B93" s="10">
        <v>8</v>
      </c>
      <c r="C93" s="10">
        <v>260.488132506618</v>
      </c>
    </row>
    <row r="94" spans="1:3" x14ac:dyDescent="0.25">
      <c r="A94" s="10">
        <v>2005</v>
      </c>
      <c r="B94" s="10">
        <v>9</v>
      </c>
      <c r="C94" s="10">
        <v>261.37298731275303</v>
      </c>
    </row>
    <row r="95" spans="1:3" x14ac:dyDescent="0.25">
      <c r="A95" s="10">
        <v>2005</v>
      </c>
      <c r="B95" s="10">
        <v>10</v>
      </c>
      <c r="C95" s="10">
        <v>266.51611636019999</v>
      </c>
    </row>
    <row r="96" spans="1:3" x14ac:dyDescent="0.25">
      <c r="A96" s="10">
        <v>2005</v>
      </c>
      <c r="B96" s="10">
        <v>11</v>
      </c>
      <c r="C96" s="10">
        <v>260.86764780343401</v>
      </c>
    </row>
    <row r="97" spans="1:3" x14ac:dyDescent="0.25">
      <c r="A97" s="10">
        <v>2005</v>
      </c>
      <c r="B97" s="10">
        <v>12</v>
      </c>
      <c r="C97" s="10">
        <v>258.96003082790202</v>
      </c>
    </row>
    <row r="98" spans="1:3" x14ac:dyDescent="0.25">
      <c r="A98" s="10">
        <v>2006</v>
      </c>
      <c r="B98" s="10">
        <v>1</v>
      </c>
      <c r="C98" s="10">
        <v>260.225909961235</v>
      </c>
    </row>
    <row r="99" spans="1:3" x14ac:dyDescent="0.25">
      <c r="A99" s="10">
        <v>2006</v>
      </c>
      <c r="B99" s="10">
        <v>2</v>
      </c>
      <c r="C99" s="10">
        <v>250.25449009305601</v>
      </c>
    </row>
    <row r="100" spans="1:3" x14ac:dyDescent="0.25">
      <c r="A100" s="10">
        <v>2006</v>
      </c>
      <c r="B100" s="10">
        <v>3</v>
      </c>
      <c r="C100" s="10">
        <v>250.10646836543799</v>
      </c>
    </row>
    <row r="101" spans="1:3" x14ac:dyDescent="0.25">
      <c r="A101" s="10">
        <v>2006</v>
      </c>
      <c r="B101" s="10">
        <v>4</v>
      </c>
      <c r="C101" s="10">
        <v>231.772224911753</v>
      </c>
    </row>
    <row r="102" spans="1:3" x14ac:dyDescent="0.25">
      <c r="A102" s="10">
        <v>2006</v>
      </c>
      <c r="B102" s="10">
        <v>5</v>
      </c>
      <c r="C102" s="10">
        <v>225.161894660906</v>
      </c>
    </row>
    <row r="103" spans="1:3" x14ac:dyDescent="0.25">
      <c r="A103" s="10">
        <v>2006</v>
      </c>
      <c r="B103" s="10">
        <v>6</v>
      </c>
      <c r="C103" s="10">
        <v>238.462742936306</v>
      </c>
    </row>
    <row r="104" spans="1:3" x14ac:dyDescent="0.25">
      <c r="A104" s="10">
        <v>2006</v>
      </c>
      <c r="B104" s="10">
        <v>7</v>
      </c>
      <c r="C104" s="10">
        <v>249.937038272519</v>
      </c>
    </row>
    <row r="105" spans="1:3" x14ac:dyDescent="0.25">
      <c r="A105" s="10">
        <v>2006</v>
      </c>
      <c r="B105" s="10">
        <v>8</v>
      </c>
      <c r="C105" s="10">
        <v>273.71829172082897</v>
      </c>
    </row>
    <row r="106" spans="1:3" x14ac:dyDescent="0.25">
      <c r="A106" s="10">
        <v>2006</v>
      </c>
      <c r="B106" s="10">
        <v>9</v>
      </c>
      <c r="C106" s="10">
        <v>272.80689831304699</v>
      </c>
    </row>
    <row r="107" spans="1:3" x14ac:dyDescent="0.25">
      <c r="A107" s="10">
        <v>2006</v>
      </c>
      <c r="B107" s="10">
        <v>10</v>
      </c>
      <c r="C107" s="10">
        <v>269.70519711415199</v>
      </c>
    </row>
    <row r="108" spans="1:3" x14ac:dyDescent="0.25">
      <c r="A108" s="10">
        <v>2006</v>
      </c>
      <c r="B108" s="10">
        <v>11</v>
      </c>
      <c r="C108" s="10">
        <v>270.49212892357599</v>
      </c>
    </row>
    <row r="109" spans="1:3" x14ac:dyDescent="0.25">
      <c r="A109" s="10">
        <v>2006</v>
      </c>
      <c r="B109" s="10">
        <v>12</v>
      </c>
      <c r="C109" s="10">
        <v>250.21922403498701</v>
      </c>
    </row>
    <row r="110" spans="1:3" x14ac:dyDescent="0.25">
      <c r="A110" s="10">
        <v>2007</v>
      </c>
      <c r="B110" s="10">
        <v>1</v>
      </c>
      <c r="C110" s="10">
        <v>262.354577874548</v>
      </c>
    </row>
    <row r="111" spans="1:3" x14ac:dyDescent="0.25">
      <c r="A111" s="10">
        <v>2007</v>
      </c>
      <c r="B111" s="10">
        <v>2</v>
      </c>
      <c r="C111" s="10">
        <v>263.90723785540098</v>
      </c>
    </row>
    <row r="112" spans="1:3" x14ac:dyDescent="0.25">
      <c r="A112" s="10">
        <v>2007</v>
      </c>
      <c r="B112" s="10">
        <v>3</v>
      </c>
      <c r="C112" s="10">
        <v>259.02729604873798</v>
      </c>
    </row>
    <row r="113" spans="1:3" x14ac:dyDescent="0.25">
      <c r="A113" s="10">
        <v>2007</v>
      </c>
      <c r="B113" s="10">
        <v>4</v>
      </c>
      <c r="C113" s="10">
        <v>259.69419912692501</v>
      </c>
    </row>
    <row r="114" spans="1:3" x14ac:dyDescent="0.25">
      <c r="A114" s="10">
        <v>2007</v>
      </c>
      <c r="B114" s="10">
        <v>5</v>
      </c>
      <c r="C114" s="10">
        <v>258.46797452328002</v>
      </c>
    </row>
    <row r="115" spans="1:3" x14ac:dyDescent="0.25">
      <c r="A115" s="10">
        <v>2007</v>
      </c>
      <c r="B115" s="10">
        <v>6</v>
      </c>
      <c r="C115" s="10">
        <v>271.31843235442898</v>
      </c>
    </row>
    <row r="116" spans="1:3" x14ac:dyDescent="0.25">
      <c r="A116" s="10">
        <v>2007</v>
      </c>
      <c r="B116" s="10">
        <v>7</v>
      </c>
      <c r="C116" s="10">
        <v>274.06544817018403</v>
      </c>
    </row>
    <row r="117" spans="1:3" x14ac:dyDescent="0.25">
      <c r="A117" s="10">
        <v>2007</v>
      </c>
      <c r="B117" s="10">
        <v>8</v>
      </c>
      <c r="C117" s="10">
        <v>275.60417682149802</v>
      </c>
    </row>
    <row r="118" spans="1:3" x14ac:dyDescent="0.25">
      <c r="A118" s="10">
        <v>2007</v>
      </c>
      <c r="B118" s="10">
        <v>9</v>
      </c>
      <c r="C118" s="10">
        <v>248.73703733684701</v>
      </c>
    </row>
    <row r="119" spans="1:3" x14ac:dyDescent="0.25">
      <c r="A119" s="10">
        <v>2007</v>
      </c>
      <c r="B119" s="10">
        <v>10</v>
      </c>
      <c r="C119" s="10">
        <v>271.99931927371102</v>
      </c>
    </row>
    <row r="120" spans="1:3" x14ac:dyDescent="0.25">
      <c r="A120" s="10">
        <v>2007</v>
      </c>
      <c r="B120" s="10">
        <v>11</v>
      </c>
      <c r="C120" s="10">
        <v>294.33216759144602</v>
      </c>
    </row>
    <row r="121" spans="1:3" x14ac:dyDescent="0.25">
      <c r="A121" s="10">
        <v>2007</v>
      </c>
      <c r="B121" s="10">
        <v>12</v>
      </c>
      <c r="C121" s="10">
        <v>283.37904408406399</v>
      </c>
    </row>
    <row r="122" spans="1:3" x14ac:dyDescent="0.25">
      <c r="A122" s="10">
        <v>2008</v>
      </c>
      <c r="B122" s="10">
        <v>1</v>
      </c>
      <c r="C122" s="10">
        <v>278.85455825870298</v>
      </c>
    </row>
    <row r="123" spans="1:3" x14ac:dyDescent="0.25">
      <c r="A123" s="10">
        <v>2008</v>
      </c>
      <c r="B123" s="10">
        <v>2</v>
      </c>
      <c r="C123" s="10">
        <v>283.28508466759098</v>
      </c>
    </row>
    <row r="124" spans="1:3" x14ac:dyDescent="0.25">
      <c r="A124" s="10">
        <v>2008</v>
      </c>
      <c r="B124" s="10">
        <v>3</v>
      </c>
      <c r="C124" s="10">
        <v>170.72146305571701</v>
      </c>
    </row>
    <row r="125" spans="1:3" x14ac:dyDescent="0.25">
      <c r="A125" s="10">
        <v>2008</v>
      </c>
      <c r="B125" s="10">
        <v>4</v>
      </c>
      <c r="C125" s="10">
        <v>300.33642300950697</v>
      </c>
    </row>
    <row r="126" spans="1:3" x14ac:dyDescent="0.25">
      <c r="A126" s="10">
        <v>2008</v>
      </c>
      <c r="B126" s="10">
        <v>5</v>
      </c>
      <c r="C126" s="10">
        <v>237.21758113817199</v>
      </c>
    </row>
    <row r="127" spans="1:3" x14ac:dyDescent="0.25">
      <c r="A127" s="10">
        <v>2008</v>
      </c>
      <c r="B127" s="10">
        <v>6</v>
      </c>
      <c r="C127" s="10">
        <v>226.22236086685999</v>
      </c>
    </row>
    <row r="128" spans="1:3" x14ac:dyDescent="0.25">
      <c r="A128" s="10">
        <v>2008</v>
      </c>
      <c r="B128" s="10">
        <v>7</v>
      </c>
      <c r="C128" s="10">
        <v>280.99525207772001</v>
      </c>
    </row>
    <row r="129" spans="1:3" x14ac:dyDescent="0.25">
      <c r="A129" s="10">
        <v>2008</v>
      </c>
      <c r="B129" s="10">
        <v>8</v>
      </c>
      <c r="C129" s="10">
        <v>277.29582790722299</v>
      </c>
    </row>
    <row r="130" spans="1:3" x14ac:dyDescent="0.25">
      <c r="A130" s="10">
        <v>2008</v>
      </c>
      <c r="B130" s="10">
        <v>9</v>
      </c>
      <c r="C130" s="10">
        <v>278.47523991003698</v>
      </c>
    </row>
    <row r="131" spans="1:3" x14ac:dyDescent="0.25">
      <c r="A131" s="10">
        <v>2008</v>
      </c>
      <c r="B131" s="10">
        <v>10</v>
      </c>
      <c r="C131" s="10">
        <v>264.51017380805303</v>
      </c>
    </row>
    <row r="132" spans="1:3" x14ac:dyDescent="0.25">
      <c r="A132" s="10">
        <v>2008</v>
      </c>
      <c r="B132" s="10">
        <v>11</v>
      </c>
      <c r="C132" s="10">
        <v>260.89841958168</v>
      </c>
    </row>
    <row r="133" spans="1:3" x14ac:dyDescent="0.25">
      <c r="A133" s="10">
        <v>2008</v>
      </c>
      <c r="B133" s="10">
        <v>12</v>
      </c>
      <c r="C133" s="10">
        <v>267.09808630345401</v>
      </c>
    </row>
    <row r="134" spans="1:3" x14ac:dyDescent="0.25">
      <c r="A134" s="10">
        <v>2009</v>
      </c>
      <c r="B134" s="10">
        <v>1</v>
      </c>
      <c r="C134" s="10">
        <v>280.45322450033899</v>
      </c>
    </row>
    <row r="135" spans="1:3" x14ac:dyDescent="0.25">
      <c r="A135" s="10">
        <v>2009</v>
      </c>
      <c r="B135" s="10">
        <v>2</v>
      </c>
      <c r="C135" s="10">
        <v>278.95115327152303</v>
      </c>
    </row>
    <row r="136" spans="1:3" x14ac:dyDescent="0.25">
      <c r="A136" s="10">
        <v>2009</v>
      </c>
      <c r="B136" s="10">
        <v>3</v>
      </c>
      <c r="C136" s="10">
        <v>265.31766503876901</v>
      </c>
    </row>
    <row r="137" spans="1:3" x14ac:dyDescent="0.25">
      <c r="A137" s="10">
        <v>2009</v>
      </c>
      <c r="B137" s="10">
        <v>4</v>
      </c>
      <c r="C137" s="10">
        <v>294.24896464086697</v>
      </c>
    </row>
    <row r="138" spans="1:3" x14ac:dyDescent="0.25">
      <c r="A138" s="10">
        <v>2009</v>
      </c>
      <c r="B138" s="10">
        <v>5</v>
      </c>
      <c r="C138" s="10">
        <v>272.67642428545503</v>
      </c>
    </row>
    <row r="139" spans="1:3" x14ac:dyDescent="0.25">
      <c r="A139" s="10">
        <v>2009</v>
      </c>
      <c r="B139" s="10">
        <v>6</v>
      </c>
      <c r="C139" s="10">
        <v>300.66399854085898</v>
      </c>
    </row>
    <row r="140" spans="1:3" x14ac:dyDescent="0.25">
      <c r="A140" s="10">
        <v>2009</v>
      </c>
      <c r="B140" s="10">
        <v>7</v>
      </c>
      <c r="C140" s="10">
        <v>290.62884079390602</v>
      </c>
    </row>
    <row r="141" spans="1:3" x14ac:dyDescent="0.25">
      <c r="A141" s="10">
        <v>2009</v>
      </c>
      <c r="B141" s="10">
        <v>8</v>
      </c>
      <c r="C141" s="10">
        <v>289.19664615797501</v>
      </c>
    </row>
    <row r="142" spans="1:3" x14ac:dyDescent="0.25">
      <c r="A142" s="10">
        <v>2009</v>
      </c>
      <c r="B142" s="10">
        <v>9</v>
      </c>
      <c r="C142" s="10">
        <v>266.14817524241499</v>
      </c>
    </row>
    <row r="143" spans="1:3" x14ac:dyDescent="0.25">
      <c r="A143" s="10">
        <v>2009</v>
      </c>
      <c r="B143" s="10">
        <v>10</v>
      </c>
      <c r="C143" s="10">
        <v>294.21732606916402</v>
      </c>
    </row>
    <row r="144" spans="1:3" x14ac:dyDescent="0.25">
      <c r="A144" s="10">
        <v>2009</v>
      </c>
      <c r="B144" s="10">
        <v>11</v>
      </c>
      <c r="C144" s="10">
        <v>280.21467994227203</v>
      </c>
    </row>
    <row r="145" spans="1:3" x14ac:dyDescent="0.25">
      <c r="A145" s="10">
        <v>2009</v>
      </c>
      <c r="B145" s="10">
        <v>12</v>
      </c>
      <c r="C145" s="10">
        <v>265.187182726765</v>
      </c>
    </row>
    <row r="146" spans="1:3" x14ac:dyDescent="0.25">
      <c r="A146" s="10">
        <v>2010</v>
      </c>
      <c r="B146" s="10">
        <v>1</v>
      </c>
      <c r="C146" s="10">
        <v>248.446862692254</v>
      </c>
    </row>
    <row r="147" spans="1:3" x14ac:dyDescent="0.25">
      <c r="A147" s="10">
        <v>2010</v>
      </c>
      <c r="B147" s="10">
        <v>2</v>
      </c>
      <c r="C147" s="10">
        <v>230.54449657988101</v>
      </c>
    </row>
    <row r="148" spans="1:3" x14ac:dyDescent="0.25">
      <c r="A148" s="10">
        <v>2010</v>
      </c>
      <c r="B148" s="10">
        <v>3</v>
      </c>
      <c r="C148" s="10">
        <v>225.42371961400099</v>
      </c>
    </row>
    <row r="149" spans="1:3" x14ac:dyDescent="0.25">
      <c r="A149" s="10">
        <v>2010</v>
      </c>
      <c r="B149" s="10">
        <v>4</v>
      </c>
      <c r="C149" s="10">
        <v>218.68957859024599</v>
      </c>
    </row>
    <row r="150" spans="1:3" x14ac:dyDescent="0.25">
      <c r="A150" s="10">
        <v>2010</v>
      </c>
      <c r="B150" s="10">
        <v>5</v>
      </c>
      <c r="C150" s="10">
        <v>219.77466957778299</v>
      </c>
    </row>
    <row r="151" spans="1:3" x14ac:dyDescent="0.25">
      <c r="A151" s="10">
        <v>2010</v>
      </c>
      <c r="B151" s="10">
        <v>6</v>
      </c>
      <c r="C151" s="10">
        <v>210.959219251484</v>
      </c>
    </row>
    <row r="152" spans="1:3" x14ac:dyDescent="0.25">
      <c r="A152" s="10">
        <v>2010</v>
      </c>
      <c r="B152" s="10">
        <v>7</v>
      </c>
      <c r="C152" s="10">
        <v>215.35505966140599</v>
      </c>
    </row>
    <row r="153" spans="1:3" x14ac:dyDescent="0.25">
      <c r="A153" s="10">
        <v>2010</v>
      </c>
      <c r="B153" s="10">
        <v>8</v>
      </c>
      <c r="C153" s="10">
        <v>227.89750158287401</v>
      </c>
    </row>
    <row r="154" spans="1:3" x14ac:dyDescent="0.25">
      <c r="A154" s="10">
        <v>2010</v>
      </c>
      <c r="B154" s="10">
        <v>9</v>
      </c>
      <c r="C154" s="10">
        <v>210.662591878841</v>
      </c>
    </row>
    <row r="155" spans="1:3" x14ac:dyDescent="0.25">
      <c r="A155" s="10">
        <v>2010</v>
      </c>
      <c r="B155" s="10">
        <v>10</v>
      </c>
      <c r="C155" s="10">
        <v>205.25538864905599</v>
      </c>
    </row>
    <row r="156" spans="1:3" x14ac:dyDescent="0.25">
      <c r="A156" s="10">
        <v>2010</v>
      </c>
      <c r="B156" s="10">
        <v>11</v>
      </c>
      <c r="C156" s="10">
        <v>209.326502049721</v>
      </c>
    </row>
    <row r="157" spans="1:3" x14ac:dyDescent="0.25">
      <c r="A157" s="10">
        <v>2010</v>
      </c>
      <c r="B157" s="10">
        <v>12</v>
      </c>
      <c r="C157" s="10">
        <v>204.54256760775101</v>
      </c>
    </row>
    <row r="158" spans="1:3" x14ac:dyDescent="0.25">
      <c r="A158" s="10">
        <v>2011</v>
      </c>
      <c r="B158" s="10">
        <v>1</v>
      </c>
      <c r="C158" s="10">
        <v>210.950312114707</v>
      </c>
    </row>
    <row r="159" spans="1:3" x14ac:dyDescent="0.25">
      <c r="A159" s="10">
        <v>2011</v>
      </c>
      <c r="B159" s="10">
        <v>2</v>
      </c>
      <c r="C159" s="10">
        <v>217.18566731745199</v>
      </c>
    </row>
    <row r="160" spans="1:3" x14ac:dyDescent="0.25">
      <c r="A160" s="10">
        <v>2011</v>
      </c>
      <c r="B160" s="10">
        <v>3</v>
      </c>
      <c r="C160" s="10">
        <v>211.15367809590501</v>
      </c>
    </row>
    <row r="161" spans="1:3" x14ac:dyDescent="0.25">
      <c r="A161" s="10">
        <v>2011</v>
      </c>
      <c r="B161" s="10">
        <v>4</v>
      </c>
      <c r="C161" s="10">
        <v>207.80350058004001</v>
      </c>
    </row>
    <row r="162" spans="1:3" x14ac:dyDescent="0.25">
      <c r="A162" s="10">
        <v>2011</v>
      </c>
      <c r="B162" s="10">
        <v>5</v>
      </c>
      <c r="C162" s="10">
        <v>208.56497546463899</v>
      </c>
    </row>
    <row r="163" spans="1:3" x14ac:dyDescent="0.25">
      <c r="A163" s="10">
        <v>2011</v>
      </c>
      <c r="B163" s="10">
        <v>6</v>
      </c>
      <c r="C163" s="10">
        <v>204.027613787219</v>
      </c>
    </row>
    <row r="164" spans="1:3" x14ac:dyDescent="0.25">
      <c r="A164" s="10">
        <v>2011</v>
      </c>
      <c r="B164" s="10">
        <v>7</v>
      </c>
      <c r="C164" s="10">
        <v>202.54484190026201</v>
      </c>
    </row>
    <row r="165" spans="1:3" x14ac:dyDescent="0.25">
      <c r="A165" s="10">
        <v>2011</v>
      </c>
      <c r="B165" s="10">
        <v>8</v>
      </c>
      <c r="C165" s="10">
        <v>205.18421646449099</v>
      </c>
    </row>
    <row r="166" spans="1:3" x14ac:dyDescent="0.25">
      <c r="A166" s="10">
        <v>2011</v>
      </c>
      <c r="B166" s="10">
        <v>9</v>
      </c>
      <c r="C166" s="10">
        <v>206.49233522140801</v>
      </c>
    </row>
    <row r="167" spans="1:3" x14ac:dyDescent="0.25">
      <c r="A167" s="10">
        <v>2011</v>
      </c>
      <c r="B167" s="10">
        <v>10</v>
      </c>
      <c r="C167" s="10">
        <v>210.71705819944299</v>
      </c>
    </row>
    <row r="168" spans="1:3" x14ac:dyDescent="0.25">
      <c r="A168" s="10">
        <v>2011</v>
      </c>
      <c r="B168" s="10">
        <v>11</v>
      </c>
      <c r="C168" s="10">
        <v>205.52115371491499</v>
      </c>
    </row>
    <row r="169" spans="1:3" x14ac:dyDescent="0.25">
      <c r="A169" s="10">
        <v>2011</v>
      </c>
      <c r="B169" s="10">
        <v>12</v>
      </c>
      <c r="C169" s="10">
        <v>216.82080985547299</v>
      </c>
    </row>
    <row r="170" spans="1:3" x14ac:dyDescent="0.25">
      <c r="A170" s="10">
        <v>2012</v>
      </c>
      <c r="B170" s="10">
        <v>1</v>
      </c>
      <c r="C170" s="10">
        <v>216.10622378574001</v>
      </c>
    </row>
    <row r="171" spans="1:3" x14ac:dyDescent="0.25">
      <c r="A171" s="10">
        <v>2012</v>
      </c>
      <c r="B171" s="10">
        <v>2</v>
      </c>
      <c r="C171" s="10">
        <v>216.48212203937501</v>
      </c>
    </row>
    <row r="172" spans="1:3" x14ac:dyDescent="0.25">
      <c r="A172" s="10">
        <v>2012</v>
      </c>
      <c r="B172" s="10">
        <v>3</v>
      </c>
      <c r="C172" s="10">
        <v>218.14708310504901</v>
      </c>
    </row>
    <row r="173" spans="1:3" x14ac:dyDescent="0.25">
      <c r="A173" s="10">
        <v>2012</v>
      </c>
      <c r="B173" s="10">
        <v>4</v>
      </c>
      <c r="C173" s="10">
        <v>211.87556813761799</v>
      </c>
    </row>
    <row r="174" spans="1:3" x14ac:dyDescent="0.25">
      <c r="A174" s="10">
        <v>2012</v>
      </c>
      <c r="B174" s="10">
        <v>5</v>
      </c>
      <c r="C174" s="10">
        <v>217.493952387088</v>
      </c>
    </row>
    <row r="175" spans="1:3" x14ac:dyDescent="0.25">
      <c r="A175" s="10">
        <v>2012</v>
      </c>
      <c r="B175" s="10">
        <v>6</v>
      </c>
      <c r="C175" s="10">
        <v>208.43605278324699</v>
      </c>
    </row>
    <row r="176" spans="1:3" x14ac:dyDescent="0.25">
      <c r="A176" s="10">
        <v>2012</v>
      </c>
      <c r="B176" s="10">
        <v>7</v>
      </c>
      <c r="C176" s="10">
        <v>216.76730020907601</v>
      </c>
    </row>
    <row r="177" spans="1:3" x14ac:dyDescent="0.25">
      <c r="A177" s="10">
        <v>2012</v>
      </c>
      <c r="B177" s="10">
        <v>8</v>
      </c>
      <c r="C177" s="10">
        <v>205.484625604402</v>
      </c>
    </row>
    <row r="178" spans="1:3" x14ac:dyDescent="0.25">
      <c r="A178" s="10">
        <v>2012</v>
      </c>
      <c r="B178" s="10">
        <v>9</v>
      </c>
      <c r="C178" s="10">
        <v>218.106986401472</v>
      </c>
    </row>
    <row r="179" spans="1:3" x14ac:dyDescent="0.25">
      <c r="A179" s="10">
        <v>2012</v>
      </c>
      <c r="B179" s="10">
        <v>10</v>
      </c>
      <c r="C179" s="10">
        <v>219.76206619303301</v>
      </c>
    </row>
    <row r="180" spans="1:3" x14ac:dyDescent="0.25">
      <c r="A180" s="10">
        <v>2012</v>
      </c>
      <c r="B180" s="10">
        <v>11</v>
      </c>
      <c r="C180" s="10">
        <v>224.433398268259</v>
      </c>
    </row>
    <row r="181" spans="1:3" x14ac:dyDescent="0.25">
      <c r="A181" s="10">
        <v>2012</v>
      </c>
      <c r="B181" s="10">
        <v>12</v>
      </c>
      <c r="C181" s="10">
        <v>225.426345935895</v>
      </c>
    </row>
    <row r="182" spans="1:3" x14ac:dyDescent="0.25">
      <c r="A182" s="10">
        <v>2013</v>
      </c>
      <c r="B182" s="10">
        <v>1</v>
      </c>
      <c r="C182" s="10">
        <v>231.39810948846201</v>
      </c>
    </row>
    <row r="183" spans="1:3" x14ac:dyDescent="0.25">
      <c r="A183" s="10">
        <v>2013</v>
      </c>
      <c r="B183" s="10">
        <v>2</v>
      </c>
      <c r="C183" s="10">
        <v>236.952796470717</v>
      </c>
    </row>
    <row r="184" spans="1:3" x14ac:dyDescent="0.25">
      <c r="A184" s="10">
        <v>2013</v>
      </c>
      <c r="B184" s="10">
        <v>3</v>
      </c>
      <c r="C184" s="10">
        <v>232.22374674302301</v>
      </c>
    </row>
    <row r="185" spans="1:3" x14ac:dyDescent="0.25">
      <c r="A185" s="10">
        <v>2013</v>
      </c>
      <c r="B185" s="10">
        <v>4</v>
      </c>
      <c r="C185" s="10">
        <v>236.817457687531</v>
      </c>
    </row>
    <row r="186" spans="1:3" x14ac:dyDescent="0.25">
      <c r="A186" s="10">
        <v>2013</v>
      </c>
      <c r="B186" s="10">
        <v>5</v>
      </c>
      <c r="C186" s="10">
        <v>230.84139204035901</v>
      </c>
    </row>
    <row r="187" spans="1:3" x14ac:dyDescent="0.25">
      <c r="A187" s="10">
        <v>2013</v>
      </c>
      <c r="B187" s="10">
        <v>6</v>
      </c>
      <c r="C187" s="10">
        <v>238.43600144776599</v>
      </c>
    </row>
    <row r="188" spans="1:3" x14ac:dyDescent="0.25">
      <c r="A188" s="10">
        <v>2013</v>
      </c>
      <c r="B188" s="10">
        <v>7</v>
      </c>
      <c r="C188" s="10">
        <v>239.850924369567</v>
      </c>
    </row>
    <row r="189" spans="1:3" x14ac:dyDescent="0.25">
      <c r="A189" s="10">
        <v>2013</v>
      </c>
      <c r="B189" s="10">
        <v>8</v>
      </c>
      <c r="C189" s="10">
        <v>234.429591253338</v>
      </c>
    </row>
    <row r="190" spans="1:3" x14ac:dyDescent="0.25">
      <c r="A190" s="10">
        <v>2013</v>
      </c>
      <c r="B190" s="10">
        <v>9</v>
      </c>
      <c r="C190" s="10">
        <v>237.475236896577</v>
      </c>
    </row>
    <row r="191" spans="1:3" x14ac:dyDescent="0.25">
      <c r="A191" s="10">
        <v>2013</v>
      </c>
      <c r="B191" s="10">
        <v>10</v>
      </c>
      <c r="C191" s="10">
        <v>240.351738328327</v>
      </c>
    </row>
    <row r="192" spans="1:3" x14ac:dyDescent="0.25">
      <c r="A192" s="10">
        <v>2013</v>
      </c>
      <c r="B192" s="10">
        <v>11</v>
      </c>
      <c r="C192" s="10">
        <v>230.60423380293901</v>
      </c>
    </row>
    <row r="193" spans="1:3" x14ac:dyDescent="0.25">
      <c r="A193" s="10">
        <v>2013</v>
      </c>
      <c r="B193" s="10">
        <v>12</v>
      </c>
      <c r="C193" s="10">
        <v>231.97134260016799</v>
      </c>
    </row>
    <row r="194" spans="1:3" x14ac:dyDescent="0.25">
      <c r="A194" s="10">
        <v>2014</v>
      </c>
      <c r="B194" s="10">
        <v>1</v>
      </c>
      <c r="C194" s="10">
        <v>221.25201366885301</v>
      </c>
    </row>
    <row r="195" spans="1:3" x14ac:dyDescent="0.25">
      <c r="A195" s="10">
        <v>2014</v>
      </c>
      <c r="B195" s="10">
        <v>2</v>
      </c>
      <c r="C195" s="10">
        <v>222.12876939336601</v>
      </c>
    </row>
    <row r="196" spans="1:3" x14ac:dyDescent="0.25">
      <c r="A196" s="10">
        <v>2014</v>
      </c>
      <c r="B196" s="10">
        <v>3</v>
      </c>
      <c r="C196" s="10">
        <v>222.440916241731</v>
      </c>
    </row>
    <row r="197" spans="1:3" x14ac:dyDescent="0.25">
      <c r="A197" s="10">
        <v>2014</v>
      </c>
      <c r="B197" s="10">
        <v>4</v>
      </c>
      <c r="C197" s="10">
        <v>225.514475813394</v>
      </c>
    </row>
    <row r="198" spans="1:3" x14ac:dyDescent="0.25">
      <c r="A198" s="10">
        <v>2014</v>
      </c>
      <c r="B198" s="10">
        <v>5</v>
      </c>
      <c r="C198" s="10">
        <v>222.54818738443299</v>
      </c>
    </row>
    <row r="199" spans="1:3" x14ac:dyDescent="0.25">
      <c r="A199" s="10">
        <v>2014</v>
      </c>
      <c r="B199" s="10">
        <v>6</v>
      </c>
      <c r="C199" s="10">
        <v>230.834896902439</v>
      </c>
    </row>
    <row r="200" spans="1:3" x14ac:dyDescent="0.25">
      <c r="A200" s="10">
        <v>2014</v>
      </c>
      <c r="B200" s="10">
        <v>7</v>
      </c>
      <c r="C200" s="10">
        <v>218.81390256426999</v>
      </c>
    </row>
    <row r="201" spans="1:3" x14ac:dyDescent="0.25">
      <c r="A201" s="10">
        <v>2014</v>
      </c>
      <c r="B201" s="10">
        <v>8</v>
      </c>
      <c r="C201" s="10">
        <v>219.058232529099</v>
      </c>
    </row>
    <row r="202" spans="1:3" x14ac:dyDescent="0.25">
      <c r="A202" s="10">
        <v>2014</v>
      </c>
      <c r="B202" s="10">
        <v>9</v>
      </c>
      <c r="C202" s="10">
        <v>221.51137980697999</v>
      </c>
    </row>
    <row r="203" spans="1:3" x14ac:dyDescent="0.25">
      <c r="A203" s="10">
        <v>2014</v>
      </c>
      <c r="B203" s="10">
        <v>10</v>
      </c>
      <c r="C203" s="10">
        <v>216.76422212664599</v>
      </c>
    </row>
    <row r="204" spans="1:3" x14ac:dyDescent="0.25">
      <c r="A204" s="10">
        <v>2014</v>
      </c>
      <c r="B204" s="10">
        <v>11</v>
      </c>
      <c r="C204" s="10">
        <v>237.795359648523</v>
      </c>
    </row>
    <row r="205" spans="1:3" x14ac:dyDescent="0.25">
      <c r="A205" s="10">
        <v>2014</v>
      </c>
      <c r="B205" s="10">
        <v>12</v>
      </c>
      <c r="C205" s="10">
        <v>213.24246779550299</v>
      </c>
    </row>
    <row r="206" spans="1:3" x14ac:dyDescent="0.25">
      <c r="A206" s="10">
        <v>2015</v>
      </c>
      <c r="B206" s="10">
        <v>1</v>
      </c>
      <c r="C206" s="10">
        <v>229.02881687946501</v>
      </c>
    </row>
    <row r="207" spans="1:3" x14ac:dyDescent="0.25">
      <c r="A207" s="10">
        <v>2015</v>
      </c>
      <c r="B207" s="10">
        <v>2</v>
      </c>
      <c r="C207" s="10">
        <v>230.92640934980901</v>
      </c>
    </row>
    <row r="208" spans="1:3" x14ac:dyDescent="0.25">
      <c r="A208" s="10">
        <v>2015</v>
      </c>
      <c r="B208" s="10">
        <v>3</v>
      </c>
      <c r="C208" s="10">
        <v>232.91574020901101</v>
      </c>
    </row>
    <row r="209" spans="1:3" x14ac:dyDescent="0.25">
      <c r="A209" s="10">
        <v>2015</v>
      </c>
      <c r="B209" s="10">
        <v>4</v>
      </c>
      <c r="C209" s="10">
        <v>234.83489688038199</v>
      </c>
    </row>
    <row r="210" spans="1:3" x14ac:dyDescent="0.25">
      <c r="A210" s="10">
        <v>2015</v>
      </c>
      <c r="B210" s="10">
        <v>5</v>
      </c>
      <c r="C210" s="10">
        <v>235.94826924313301</v>
      </c>
    </row>
    <row r="211" spans="1:3" x14ac:dyDescent="0.25">
      <c r="A211" s="10">
        <v>2015</v>
      </c>
      <c r="B211" s="10">
        <v>6</v>
      </c>
      <c r="C211" s="10">
        <v>238.24304058532999</v>
      </c>
    </row>
    <row r="212" spans="1:3" x14ac:dyDescent="0.25">
      <c r="A212" s="10">
        <v>2015</v>
      </c>
      <c r="B212" s="10">
        <v>7</v>
      </c>
      <c r="C212" s="10">
        <v>217.59689815637699</v>
      </c>
    </row>
    <row r="213" spans="1:3" x14ac:dyDescent="0.25">
      <c r="A213" s="10">
        <v>2015</v>
      </c>
      <c r="B213" s="10">
        <v>8</v>
      </c>
      <c r="C213" s="10">
        <v>228.99088206225699</v>
      </c>
    </row>
    <row r="214" spans="1:3" x14ac:dyDescent="0.25">
      <c r="A214" s="10">
        <v>2015</v>
      </c>
      <c r="B214" s="10">
        <v>9</v>
      </c>
      <c r="C214" s="10">
        <v>233.338910733798</v>
      </c>
    </row>
    <row r="215" spans="1:3" x14ac:dyDescent="0.25">
      <c r="A215" s="10">
        <v>2015</v>
      </c>
      <c r="B215" s="10">
        <v>10</v>
      </c>
      <c r="C215" s="10">
        <v>220.54491078964401</v>
      </c>
    </row>
    <row r="216" spans="1:3" x14ac:dyDescent="0.25">
      <c r="A216" s="10">
        <v>2015</v>
      </c>
      <c r="B216" s="10">
        <v>11</v>
      </c>
      <c r="C216" s="10">
        <v>219.97858217431599</v>
      </c>
    </row>
    <row r="217" spans="1:3" x14ac:dyDescent="0.25">
      <c r="A217" s="10">
        <v>2015</v>
      </c>
      <c r="B217" s="10">
        <v>12</v>
      </c>
      <c r="C217" s="10">
        <v>201.25179813381899</v>
      </c>
    </row>
    <row r="218" spans="1:3" x14ac:dyDescent="0.25">
      <c r="A218" s="10">
        <v>2016</v>
      </c>
      <c r="B218" s="10">
        <v>1</v>
      </c>
      <c r="C218" s="10">
        <v>223.81540561360299</v>
      </c>
    </row>
    <row r="219" spans="1:3" x14ac:dyDescent="0.25">
      <c r="A219" s="10">
        <v>2016</v>
      </c>
      <c r="B219" s="10">
        <v>2</v>
      </c>
      <c r="C219" s="10">
        <v>221.50113724305501</v>
      </c>
    </row>
    <row r="220" spans="1:3" x14ac:dyDescent="0.25">
      <c r="A220" s="10">
        <v>2016</v>
      </c>
      <c r="B220" s="10">
        <v>3</v>
      </c>
      <c r="C220" s="10">
        <v>219.44131213303299</v>
      </c>
    </row>
    <row r="221" spans="1:3" x14ac:dyDescent="0.25">
      <c r="A221" s="10">
        <v>2016</v>
      </c>
      <c r="B221" s="10">
        <v>4</v>
      </c>
      <c r="C221" s="10">
        <v>214.12613957448099</v>
      </c>
    </row>
    <row r="222" spans="1:3" x14ac:dyDescent="0.25">
      <c r="A222" s="10">
        <v>2016</v>
      </c>
      <c r="B222" s="10">
        <v>5</v>
      </c>
      <c r="C222" s="10">
        <v>224.082185945736</v>
      </c>
    </row>
    <row r="223" spans="1:3" x14ac:dyDescent="0.25">
      <c r="A223" s="10">
        <v>2016</v>
      </c>
      <c r="B223" s="10">
        <v>6</v>
      </c>
      <c r="C223" s="10">
        <v>210.03648450263901</v>
      </c>
    </row>
    <row r="224" spans="1:3" x14ac:dyDescent="0.25">
      <c r="A224" s="10">
        <v>2016</v>
      </c>
      <c r="B224" s="10">
        <v>7</v>
      </c>
      <c r="C224" s="10">
        <v>212.45393029770301</v>
      </c>
    </row>
    <row r="225" spans="1:3" x14ac:dyDescent="0.25">
      <c r="A225" s="10">
        <v>2016</v>
      </c>
      <c r="B225" s="10">
        <v>8</v>
      </c>
      <c r="C225" s="10">
        <v>220.990117414064</v>
      </c>
    </row>
    <row r="226" spans="1:3" x14ac:dyDescent="0.25">
      <c r="A226" s="10">
        <v>2016</v>
      </c>
      <c r="B226" s="10">
        <v>9</v>
      </c>
      <c r="C226" s="10">
        <v>215.52931951532301</v>
      </c>
    </row>
    <row r="227" spans="1:3" x14ac:dyDescent="0.25">
      <c r="A227" s="10">
        <v>2016</v>
      </c>
      <c r="B227" s="10">
        <v>10</v>
      </c>
      <c r="C227" s="10">
        <v>219.99740796682201</v>
      </c>
    </row>
    <row r="228" spans="1:3" x14ac:dyDescent="0.25">
      <c r="A228" s="10">
        <v>2016</v>
      </c>
      <c r="B228" s="10">
        <v>11</v>
      </c>
      <c r="C228" s="10">
        <v>228.16377751501599</v>
      </c>
    </row>
    <row r="229" spans="1:3" x14ac:dyDescent="0.25">
      <c r="A229" s="10">
        <v>2016</v>
      </c>
      <c r="B229" s="10">
        <v>12</v>
      </c>
      <c r="C229" s="10">
        <v>231.77704087713499</v>
      </c>
    </row>
    <row r="230" spans="1:3" x14ac:dyDescent="0.25">
      <c r="A230" s="10">
        <v>2017</v>
      </c>
      <c r="B230" s="10">
        <v>1</v>
      </c>
      <c r="C230" s="10">
        <v>235.04380942003499</v>
      </c>
    </row>
    <row r="231" spans="1:3" x14ac:dyDescent="0.25">
      <c r="A231" s="10">
        <v>2017</v>
      </c>
      <c r="B231" s="10">
        <v>2</v>
      </c>
      <c r="C231" s="10">
        <v>223.23823421459599</v>
      </c>
    </row>
    <row r="232" spans="1:3" x14ac:dyDescent="0.25">
      <c r="A232" s="10">
        <v>2017</v>
      </c>
      <c r="B232" s="10">
        <v>3</v>
      </c>
      <c r="C232" s="10">
        <v>235.872921635317</v>
      </c>
    </row>
    <row r="233" spans="1:3" x14ac:dyDescent="0.25">
      <c r="A233" s="10">
        <v>2017</v>
      </c>
      <c r="B233" s="10">
        <v>4</v>
      </c>
      <c r="C233" s="10">
        <v>233.04196440921399</v>
      </c>
    </row>
    <row r="234" spans="1:3" x14ac:dyDescent="0.25">
      <c r="A234" s="10">
        <v>2017</v>
      </c>
      <c r="B234" s="10">
        <v>5</v>
      </c>
      <c r="C234" s="10">
        <v>233.27620384915201</v>
      </c>
    </row>
    <row r="235" spans="1:3" x14ac:dyDescent="0.25">
      <c r="A235" s="10">
        <v>2017</v>
      </c>
      <c r="B235" s="10">
        <v>6</v>
      </c>
      <c r="C235" s="10">
        <v>234.95661639144501</v>
      </c>
    </row>
    <row r="236" spans="1:3" x14ac:dyDescent="0.25">
      <c r="A236" s="10">
        <v>2017</v>
      </c>
      <c r="B236" s="10">
        <v>7</v>
      </c>
      <c r="C236" s="10">
        <v>236.38992894761699</v>
      </c>
    </row>
    <row r="237" spans="1:3" x14ac:dyDescent="0.25">
      <c r="A237" s="10">
        <v>2017</v>
      </c>
      <c r="B237" s="10">
        <v>8</v>
      </c>
      <c r="C237" s="10">
        <v>233.770048661912</v>
      </c>
    </row>
    <row r="238" spans="1:3" x14ac:dyDescent="0.25">
      <c r="A238" s="10">
        <v>2017</v>
      </c>
      <c r="B238" s="10">
        <v>9</v>
      </c>
      <c r="C238" s="10">
        <v>239.632190688836</v>
      </c>
    </row>
    <row r="239" spans="1:3" x14ac:dyDescent="0.25">
      <c r="A239" s="10">
        <v>2017</v>
      </c>
      <c r="B239" s="10">
        <v>10</v>
      </c>
      <c r="C239" s="10">
        <v>244.64660021782501</v>
      </c>
    </row>
    <row r="240" spans="1:3" x14ac:dyDescent="0.25">
      <c r="A240" s="10">
        <v>2017</v>
      </c>
      <c r="B240" s="10">
        <v>11</v>
      </c>
      <c r="C240" s="10">
        <v>248.63637613799801</v>
      </c>
    </row>
    <row r="241" spans="1:3" x14ac:dyDescent="0.25">
      <c r="A241" s="10">
        <v>2017</v>
      </c>
      <c r="B241" s="10">
        <v>12</v>
      </c>
      <c r="C241" s="10">
        <v>248.876297579832</v>
      </c>
    </row>
    <row r="242" spans="1:3" x14ac:dyDescent="0.25">
      <c r="A242" s="10">
        <v>2018</v>
      </c>
      <c r="B242" s="10">
        <v>1</v>
      </c>
      <c r="C242" s="10">
        <v>252.07328685330401</v>
      </c>
    </row>
    <row r="243" spans="1:3" x14ac:dyDescent="0.25">
      <c r="A243" s="10">
        <v>2018</v>
      </c>
      <c r="B243" s="10">
        <v>2</v>
      </c>
      <c r="C243" s="10">
        <v>255.873511245484</v>
      </c>
    </row>
    <row r="244" spans="1:3" x14ac:dyDescent="0.25">
      <c r="A244" s="10">
        <v>2018</v>
      </c>
      <c r="B244" s="10">
        <v>3</v>
      </c>
      <c r="C244" s="10">
        <v>260.13915395422401</v>
      </c>
    </row>
    <row r="245" spans="1:3" x14ac:dyDescent="0.25">
      <c r="A245" s="10">
        <v>2018</v>
      </c>
      <c r="B245" s="10">
        <v>4</v>
      </c>
      <c r="C245" s="10">
        <v>259.53212161253799</v>
      </c>
    </row>
    <row r="246" spans="1:3" x14ac:dyDescent="0.25">
      <c r="A246" s="10">
        <v>2018</v>
      </c>
      <c r="B246" s="10">
        <v>5</v>
      </c>
      <c r="C246" s="10">
        <v>252.689327743707</v>
      </c>
    </row>
    <row r="247" spans="1:3" x14ac:dyDescent="0.25">
      <c r="A247" s="10">
        <v>2018</v>
      </c>
      <c r="B247" s="10">
        <v>6</v>
      </c>
      <c r="C247" s="10">
        <v>258.91269372142398</v>
      </c>
    </row>
    <row r="248" spans="1:3" x14ac:dyDescent="0.25">
      <c r="A248" s="10">
        <v>2018</v>
      </c>
      <c r="B248" s="10">
        <v>7</v>
      </c>
      <c r="C248" s="10">
        <v>256.007511747612</v>
      </c>
    </row>
    <row r="249" spans="1:3" x14ac:dyDescent="0.25">
      <c r="A249" s="10">
        <v>2018</v>
      </c>
      <c r="B249" s="10">
        <v>8</v>
      </c>
      <c r="C249" s="10">
        <v>259.071738373409</v>
      </c>
    </row>
    <row r="250" spans="1:3" x14ac:dyDescent="0.25">
      <c r="A250" s="10">
        <v>2018</v>
      </c>
      <c r="B250" s="10">
        <v>9</v>
      </c>
      <c r="C250" s="10">
        <v>246.99423959655499</v>
      </c>
    </row>
    <row r="251" spans="1:3" x14ac:dyDescent="0.25">
      <c r="A251" s="10">
        <v>2018</v>
      </c>
      <c r="B251" s="10">
        <v>10</v>
      </c>
      <c r="C251" s="10">
        <v>256.37436310611599</v>
      </c>
    </row>
    <row r="252" spans="1:3" x14ac:dyDescent="0.25">
      <c r="A252" s="10">
        <v>2018</v>
      </c>
      <c r="B252" s="10">
        <v>11</v>
      </c>
      <c r="C252" s="10">
        <v>250.09657978774101</v>
      </c>
    </row>
    <row r="253" spans="1:3" x14ac:dyDescent="0.25">
      <c r="A253" s="10">
        <v>2018</v>
      </c>
      <c r="B253" s="10">
        <v>12</v>
      </c>
      <c r="C253" s="10">
        <v>252.62700477145199</v>
      </c>
    </row>
    <row r="254" spans="1:3" x14ac:dyDescent="0.25">
      <c r="A254" s="10">
        <v>2019</v>
      </c>
      <c r="B254" s="10">
        <v>1</v>
      </c>
      <c r="C254" s="10">
        <v>255.924565106232</v>
      </c>
    </row>
    <row r="255" spans="1:3" x14ac:dyDescent="0.25">
      <c r="A255" s="10">
        <v>2019</v>
      </c>
      <c r="B255" s="10">
        <v>2</v>
      </c>
      <c r="C255" s="10">
        <v>251.47298590481401</v>
      </c>
    </row>
    <row r="256" spans="1:3" x14ac:dyDescent="0.25">
      <c r="A256" s="10">
        <v>2019</v>
      </c>
      <c r="B256" s="10">
        <v>3</v>
      </c>
      <c r="C256" s="10">
        <v>234.23527088805699</v>
      </c>
    </row>
    <row r="257" spans="1:3" x14ac:dyDescent="0.25">
      <c r="A257" s="10">
        <v>2019</v>
      </c>
      <c r="B257" s="10">
        <v>4</v>
      </c>
      <c r="C257" s="10">
        <v>247.40601969523601</v>
      </c>
    </row>
    <row r="258" spans="1:3" x14ac:dyDescent="0.25">
      <c r="A258" s="10">
        <v>2019</v>
      </c>
      <c r="B258" s="10">
        <v>5</v>
      </c>
      <c r="C258" s="10">
        <v>255.74370639226501</v>
      </c>
    </row>
    <row r="259" spans="1:3" x14ac:dyDescent="0.25">
      <c r="A259" s="10">
        <v>2019</v>
      </c>
      <c r="B259" s="10">
        <v>6</v>
      </c>
      <c r="C259" s="10">
        <v>256.03225810779003</v>
      </c>
    </row>
    <row r="260" spans="1:3" x14ac:dyDescent="0.25">
      <c r="A260" s="10">
        <v>2019</v>
      </c>
      <c r="B260" s="10">
        <v>7</v>
      </c>
      <c r="C260" s="10">
        <v>271.56506193800601</v>
      </c>
    </row>
    <row r="261" spans="1:3" x14ac:dyDescent="0.25">
      <c r="A261" s="10">
        <v>2019</v>
      </c>
      <c r="B261" s="10">
        <v>8</v>
      </c>
      <c r="C261" s="10">
        <v>262.18725316600899</v>
      </c>
    </row>
    <row r="262" spans="1:3" x14ac:dyDescent="0.25">
      <c r="A262" s="10">
        <v>2019</v>
      </c>
      <c r="B262" s="10">
        <v>9</v>
      </c>
      <c r="C262" s="10">
        <v>275.196885531031</v>
      </c>
    </row>
    <row r="263" spans="1:3" x14ac:dyDescent="0.25">
      <c r="A263" s="10">
        <v>2019</v>
      </c>
      <c r="B263" s="10">
        <v>10</v>
      </c>
      <c r="C263" s="10">
        <v>274.15757838040099</v>
      </c>
    </row>
    <row r="264" spans="1:3" x14ac:dyDescent="0.25">
      <c r="A264" s="10">
        <v>2019</v>
      </c>
      <c r="B264" s="10">
        <v>11</v>
      </c>
      <c r="C264" s="10">
        <v>273.22884964452498</v>
      </c>
    </row>
    <row r="265" spans="1:3" x14ac:dyDescent="0.25">
      <c r="A265" s="10">
        <v>2019</v>
      </c>
      <c r="B265" s="10">
        <v>12</v>
      </c>
      <c r="C265" s="10">
        <v>273.94652354259802</v>
      </c>
    </row>
    <row r="266" spans="1:3" x14ac:dyDescent="0.25">
      <c r="A266" s="10">
        <v>2020</v>
      </c>
      <c r="B266" s="10">
        <v>1</v>
      </c>
      <c r="C266" s="10">
        <v>261.753565004905</v>
      </c>
    </row>
    <row r="267" spans="1:3" x14ac:dyDescent="0.25">
      <c r="A267" s="10">
        <v>2020</v>
      </c>
      <c r="B267" s="10">
        <v>2</v>
      </c>
      <c r="C267" s="10">
        <v>256.51763570364102</v>
      </c>
    </row>
    <row r="268" spans="1:3" x14ac:dyDescent="0.25">
      <c r="A268" s="10">
        <v>2020</v>
      </c>
      <c r="B268" s="10">
        <v>3</v>
      </c>
      <c r="C268" s="10">
        <v>240.975424676774</v>
      </c>
    </row>
    <row r="269" spans="1:3" x14ac:dyDescent="0.25">
      <c r="A269" s="10">
        <v>2020</v>
      </c>
      <c r="B269" s="10">
        <v>4</v>
      </c>
      <c r="C269" s="10">
        <v>269.670263948843</v>
      </c>
    </row>
    <row r="270" spans="1:3" x14ac:dyDescent="0.25">
      <c r="A270" s="10">
        <v>2020</v>
      </c>
      <c r="B270" s="10">
        <v>5</v>
      </c>
      <c r="C270" s="10">
        <v>267.02123865301098</v>
      </c>
    </row>
    <row r="271" spans="1:3" x14ac:dyDescent="0.25">
      <c r="A271" s="10">
        <v>2020</v>
      </c>
      <c r="B271" s="10">
        <v>6</v>
      </c>
      <c r="C271" s="10">
        <v>268.32585861083902</v>
      </c>
    </row>
    <row r="272" spans="1:3" x14ac:dyDescent="0.25">
      <c r="A272" s="10">
        <v>2020</v>
      </c>
      <c r="B272" s="10">
        <v>7</v>
      </c>
      <c r="C272" s="10">
        <v>261.33991015629698</v>
      </c>
    </row>
    <row r="273" spans="1:3" x14ac:dyDescent="0.25">
      <c r="A273" s="10">
        <v>2020</v>
      </c>
      <c r="B273" s="10">
        <v>8</v>
      </c>
      <c r="C273" s="10">
        <v>263.48037741317802</v>
      </c>
    </row>
    <row r="274" spans="1:3" x14ac:dyDescent="0.25">
      <c r="A274" s="10">
        <v>2020</v>
      </c>
      <c r="B274" s="10">
        <v>9</v>
      </c>
      <c r="C274" s="10">
        <v>268.680370328165</v>
      </c>
    </row>
    <row r="275" spans="1:3" x14ac:dyDescent="0.25">
      <c r="A275" s="10">
        <v>2020</v>
      </c>
      <c r="B275" s="10">
        <v>10</v>
      </c>
      <c r="C275" s="10">
        <v>270.24566757869297</v>
      </c>
    </row>
    <row r="276" spans="1:3" x14ac:dyDescent="0.25">
      <c r="A276" s="10">
        <v>2020</v>
      </c>
      <c r="B276" s="10">
        <v>11</v>
      </c>
      <c r="C276" s="10">
        <v>280.57015608509897</v>
      </c>
    </row>
    <row r="277" spans="1:3" x14ac:dyDescent="0.25">
      <c r="A277" s="10">
        <v>2020</v>
      </c>
      <c r="B277" s="10">
        <v>12</v>
      </c>
      <c r="C277" s="10">
        <v>255.57667602335201</v>
      </c>
    </row>
    <row r="278" spans="1:3" x14ac:dyDescent="0.25">
      <c r="A278" s="10">
        <v>2021</v>
      </c>
      <c r="B278" s="10">
        <v>1</v>
      </c>
      <c r="C278" s="10">
        <v>250.07465671227601</v>
      </c>
    </row>
    <row r="279" spans="1:3" x14ac:dyDescent="0.25">
      <c r="A279" s="10">
        <v>2021</v>
      </c>
      <c r="B279" s="10">
        <v>2</v>
      </c>
      <c r="C279" s="10">
        <v>254.731608602808</v>
      </c>
    </row>
    <row r="280" spans="1:3" x14ac:dyDescent="0.25">
      <c r="A280" s="10">
        <v>2021</v>
      </c>
      <c r="B280" s="10">
        <v>3</v>
      </c>
      <c r="C280" s="10">
        <v>256.45150645425701</v>
      </c>
    </row>
    <row r="281" spans="1:3" x14ac:dyDescent="0.25">
      <c r="A281" s="10">
        <v>2021</v>
      </c>
      <c r="B281" s="10">
        <v>4</v>
      </c>
      <c r="C281" s="10">
        <v>255.855022196351</v>
      </c>
    </row>
    <row r="282" spans="1:3" x14ac:dyDescent="0.25">
      <c r="A282" s="10">
        <v>2021</v>
      </c>
      <c r="B282" s="10">
        <v>5</v>
      </c>
      <c r="C282" s="10">
        <v>229.67904565196599</v>
      </c>
    </row>
    <row r="283" spans="1:3" x14ac:dyDescent="0.25">
      <c r="A283" s="10">
        <v>2021</v>
      </c>
      <c r="B283" s="10">
        <v>6</v>
      </c>
      <c r="C283" s="10">
        <v>248.37259662212</v>
      </c>
    </row>
    <row r="284" spans="1:3" x14ac:dyDescent="0.25">
      <c r="A284" s="10">
        <v>2021</v>
      </c>
      <c r="B284" s="10">
        <v>7</v>
      </c>
      <c r="C284" s="10">
        <v>242.35777484883801</v>
      </c>
    </row>
    <row r="285" spans="1:3" x14ac:dyDescent="0.25">
      <c r="A285" s="10">
        <v>2021</v>
      </c>
      <c r="B285" s="10">
        <v>8</v>
      </c>
      <c r="C285" s="10">
        <v>254.44395477130101</v>
      </c>
    </row>
    <row r="286" spans="1:3" x14ac:dyDescent="0.25">
      <c r="A286" s="10">
        <v>2021</v>
      </c>
      <c r="B286" s="10">
        <v>9</v>
      </c>
      <c r="C286" s="10">
        <v>244.390157767711</v>
      </c>
    </row>
    <row r="287" spans="1:3" x14ac:dyDescent="0.25">
      <c r="A287" s="10">
        <v>2021</v>
      </c>
      <c r="B287" s="10">
        <v>10</v>
      </c>
      <c r="C287" s="10">
        <v>248.28343777711399</v>
      </c>
    </row>
    <row r="288" spans="1:3" x14ac:dyDescent="0.25">
      <c r="A288" s="10">
        <v>2021</v>
      </c>
      <c r="B288" s="10">
        <v>11</v>
      </c>
      <c r="C288" s="10">
        <v>248.09803340310799</v>
      </c>
    </row>
    <row r="289" spans="1:3" x14ac:dyDescent="0.25">
      <c r="A289" s="10">
        <v>2021</v>
      </c>
      <c r="B289" s="10">
        <v>12</v>
      </c>
      <c r="C289" s="10">
        <v>248.53010761271901</v>
      </c>
    </row>
    <row r="290" spans="1:3" x14ac:dyDescent="0.25">
      <c r="A290" s="10">
        <v>2022</v>
      </c>
      <c r="B290" s="10">
        <v>1</v>
      </c>
      <c r="C290" s="10">
        <v>244.588975717994</v>
      </c>
    </row>
    <row r="291" spans="1:3" x14ac:dyDescent="0.25">
      <c r="A291" s="10">
        <v>2022</v>
      </c>
      <c r="B291" s="10">
        <v>2</v>
      </c>
      <c r="C291" s="10">
        <v>262.46679532706798</v>
      </c>
    </row>
    <row r="292" spans="1:3" x14ac:dyDescent="0.25">
      <c r="A292" s="10">
        <v>2022</v>
      </c>
      <c r="B292" s="10">
        <v>3</v>
      </c>
      <c r="C292" s="10">
        <v>254.91745881902199</v>
      </c>
    </row>
    <row r="293" spans="1:3" x14ac:dyDescent="0.25">
      <c r="A293" s="10">
        <v>2022</v>
      </c>
      <c r="B293" s="10">
        <v>4</v>
      </c>
      <c r="C293" s="10">
        <v>259.91764418357201</v>
      </c>
    </row>
    <row r="294" spans="1:3" x14ac:dyDescent="0.25">
      <c r="A294" s="10">
        <v>2022</v>
      </c>
      <c r="B294" s="10">
        <v>5</v>
      </c>
      <c r="C294" s="10">
        <v>269.91604326791997</v>
      </c>
    </row>
    <row r="295" spans="1:3" x14ac:dyDescent="0.25">
      <c r="A295" s="10">
        <v>2022</v>
      </c>
      <c r="B295" s="10">
        <v>6</v>
      </c>
      <c r="C295" s="10">
        <v>261.720145623772</v>
      </c>
    </row>
    <row r="296" spans="1:3" x14ac:dyDescent="0.25">
      <c r="A296" s="10">
        <v>2022</v>
      </c>
      <c r="B296" s="10">
        <v>7</v>
      </c>
      <c r="C296" s="10">
        <v>259.43063527460401</v>
      </c>
    </row>
    <row r="297" spans="1:3" x14ac:dyDescent="0.25">
      <c r="A297" s="10">
        <v>2022</v>
      </c>
      <c r="B297" s="10">
        <v>8</v>
      </c>
      <c r="C297" s="10">
        <v>269.00635063085002</v>
      </c>
    </row>
    <row r="298" spans="1:3" x14ac:dyDescent="0.25">
      <c r="A298" s="10">
        <v>2022</v>
      </c>
      <c r="B298" s="10">
        <v>9</v>
      </c>
      <c r="C298" s="10">
        <v>267.90762927169499</v>
      </c>
    </row>
    <row r="299" spans="1:3" x14ac:dyDescent="0.25">
      <c r="A299" s="10">
        <v>2022</v>
      </c>
      <c r="B299" s="10">
        <v>10</v>
      </c>
      <c r="C299" s="10">
        <v>259.26704721927399</v>
      </c>
    </row>
    <row r="300" spans="1:3" x14ac:dyDescent="0.25">
      <c r="A300" s="10">
        <v>2022</v>
      </c>
      <c r="B300" s="10">
        <v>11</v>
      </c>
      <c r="C300" s="10">
        <v>269.84210202896401</v>
      </c>
    </row>
    <row r="301" spans="1:3" x14ac:dyDescent="0.25">
      <c r="A301" s="10">
        <v>2022</v>
      </c>
      <c r="B301" s="10">
        <v>12</v>
      </c>
      <c r="C301" s="10">
        <v>279.126109983368</v>
      </c>
    </row>
    <row r="302" spans="1:3" x14ac:dyDescent="0.25">
      <c r="A302" s="10">
        <v>2023</v>
      </c>
      <c r="B302" s="10">
        <v>1</v>
      </c>
      <c r="C302" s="10">
        <v>284.66593077407202</v>
      </c>
    </row>
    <row r="303" spans="1:3" x14ac:dyDescent="0.25">
      <c r="A303" s="10">
        <v>2023</v>
      </c>
      <c r="B303" s="10">
        <v>2</v>
      </c>
      <c r="C303" s="10">
        <v>265.98641502073099</v>
      </c>
    </row>
    <row r="304" spans="1:3" x14ac:dyDescent="0.25">
      <c r="A304" s="10">
        <v>2023</v>
      </c>
      <c r="B304" s="10">
        <v>3</v>
      </c>
      <c r="C304" s="10">
        <v>287.00031987569002</v>
      </c>
    </row>
    <row r="305" spans="1:3" x14ac:dyDescent="0.25">
      <c r="A305" s="10">
        <v>2023</v>
      </c>
      <c r="B305" s="10">
        <v>4</v>
      </c>
      <c r="C305" s="10">
        <v>290.99572789425201</v>
      </c>
    </row>
    <row r="306" spans="1:3" x14ac:dyDescent="0.25">
      <c r="A306" s="10">
        <v>2023</v>
      </c>
      <c r="B306" s="10">
        <v>5</v>
      </c>
      <c r="C306" s="10">
        <v>280.94880587936001</v>
      </c>
    </row>
    <row r="307" spans="1:3" x14ac:dyDescent="0.25">
      <c r="A307" s="10">
        <v>2023</v>
      </c>
      <c r="B307" s="10">
        <v>6</v>
      </c>
      <c r="C307" s="10">
        <v>292.76373546347997</v>
      </c>
    </row>
    <row r="308" spans="1:3" x14ac:dyDescent="0.25">
      <c r="A308" s="10">
        <v>2023</v>
      </c>
      <c r="B308" s="10">
        <v>7</v>
      </c>
      <c r="C308" s="10">
        <v>286.39772387057502</v>
      </c>
    </row>
    <row r="309" spans="1:3" x14ac:dyDescent="0.25">
      <c r="A309" s="10">
        <v>2023</v>
      </c>
      <c r="B309" s="10">
        <v>8</v>
      </c>
      <c r="C309" s="10">
        <v>257.41970396243801</v>
      </c>
    </row>
    <row r="310" spans="1:3" x14ac:dyDescent="0.25">
      <c r="A310" s="10">
        <v>2023</v>
      </c>
      <c r="B310" s="10">
        <v>9</v>
      </c>
      <c r="C310" s="10">
        <v>263.22495240936303</v>
      </c>
    </row>
    <row r="311" spans="1:3" x14ac:dyDescent="0.25">
      <c r="A311" s="10">
        <v>2023</v>
      </c>
      <c r="B311" s="10">
        <v>10</v>
      </c>
      <c r="C311" s="10">
        <v>253.51264695469499</v>
      </c>
    </row>
    <row r="312" spans="1:3" x14ac:dyDescent="0.25">
      <c r="A312" s="10">
        <v>2023</v>
      </c>
      <c r="B312" s="10">
        <v>11</v>
      </c>
      <c r="C312" s="10">
        <v>280.44323566908002</v>
      </c>
    </row>
    <row r="313" spans="1:3" x14ac:dyDescent="0.25">
      <c r="A313" s="10">
        <v>2023</v>
      </c>
      <c r="B313" s="10">
        <v>12</v>
      </c>
      <c r="C313" s="10">
        <v>251.11877953927399</v>
      </c>
    </row>
    <row r="314" spans="1:3" x14ac:dyDescent="0.25">
      <c r="A314" s="10">
        <v>2024</v>
      </c>
      <c r="B314" s="10">
        <v>1</v>
      </c>
      <c r="C314" s="10">
        <v>269.25399679085399</v>
      </c>
    </row>
    <row r="315" spans="1:3" x14ac:dyDescent="0.25">
      <c r="A315" s="10">
        <v>2024</v>
      </c>
      <c r="B315" s="10">
        <v>2</v>
      </c>
      <c r="C315" s="10">
        <v>261.31763861884201</v>
      </c>
    </row>
    <row r="316" spans="1:3" x14ac:dyDescent="0.25">
      <c r="A316" s="10">
        <v>2024</v>
      </c>
      <c r="B316" s="10">
        <v>3</v>
      </c>
      <c r="C316" s="10">
        <v>257.01989467346101</v>
      </c>
    </row>
    <row r="317" spans="1:3" x14ac:dyDescent="0.25">
      <c r="A317" s="10">
        <v>2024</v>
      </c>
      <c r="B317" s="10">
        <v>4</v>
      </c>
      <c r="C317" s="10">
        <v>248.23027311063501</v>
      </c>
    </row>
    <row r="318" spans="1:3" x14ac:dyDescent="0.25">
      <c r="A318" s="10">
        <v>2024</v>
      </c>
      <c r="B318" s="10">
        <v>5</v>
      </c>
      <c r="C318" s="10">
        <v>259.68235968008503</v>
      </c>
    </row>
    <row r="319" spans="1:3" x14ac:dyDescent="0.25">
      <c r="A319" s="10">
        <v>2024</v>
      </c>
      <c r="B319" s="10">
        <v>6</v>
      </c>
      <c r="C319" s="10">
        <v>244.74646710830999</v>
      </c>
    </row>
    <row r="320" spans="1:3" x14ac:dyDescent="0.25">
      <c r="A320" s="10">
        <v>2024</v>
      </c>
      <c r="B320" s="10">
        <v>7</v>
      </c>
      <c r="C320" s="10">
        <v>265.96246164089303</v>
      </c>
    </row>
    <row r="321" spans="1:3" x14ac:dyDescent="0.25">
      <c r="A321" s="10">
        <v>2024</v>
      </c>
      <c r="B321" s="10">
        <v>8</v>
      </c>
      <c r="C321" s="10">
        <v>266.28207521310998</v>
      </c>
    </row>
    <row r="322" spans="1:3" x14ac:dyDescent="0.25">
      <c r="A322" s="10">
        <v>2024</v>
      </c>
      <c r="B322" s="10">
        <v>9</v>
      </c>
      <c r="C322" s="10">
        <v>275.34092058251798</v>
      </c>
    </row>
    <row r="323" spans="1:3" x14ac:dyDescent="0.25">
      <c r="A323" s="10">
        <v>2024</v>
      </c>
      <c r="B323" s="10">
        <v>10</v>
      </c>
      <c r="C323" s="10">
        <v>277.75612993927598</v>
      </c>
    </row>
    <row r="324" spans="1:3" x14ac:dyDescent="0.25">
      <c r="A324" s="10">
        <v>2024</v>
      </c>
      <c r="B324" s="10">
        <v>11</v>
      </c>
      <c r="C324" s="10">
        <v>266.670025068938</v>
      </c>
    </row>
    <row r="325" spans="1:3" x14ac:dyDescent="0.25">
      <c r="A325" s="10">
        <v>2024</v>
      </c>
      <c r="B325" s="10">
        <v>12</v>
      </c>
      <c r="C325" s="10">
        <v>278.06199718232301</v>
      </c>
    </row>
    <row r="326" spans="1:3" x14ac:dyDescent="0.25">
      <c r="A326" s="10">
        <v>2025</v>
      </c>
      <c r="B326" s="10">
        <v>1</v>
      </c>
      <c r="C326" s="10">
        <v>264.61782202762799</v>
      </c>
    </row>
    <row r="327" spans="1:3" x14ac:dyDescent="0.25">
      <c r="A327" s="10">
        <v>2025</v>
      </c>
      <c r="B327" s="10">
        <v>2</v>
      </c>
      <c r="C327" s="10">
        <v>262.75931463007299</v>
      </c>
    </row>
    <row r="328" spans="1:3" x14ac:dyDescent="0.25">
      <c r="A328" s="10">
        <v>2025</v>
      </c>
      <c r="B328" s="10">
        <v>3</v>
      </c>
      <c r="C328" s="10">
        <v>245.38870648026699</v>
      </c>
    </row>
    <row r="329" spans="1:3" x14ac:dyDescent="0.25">
      <c r="A329" s="10">
        <v>2025</v>
      </c>
      <c r="B329" s="10">
        <v>4</v>
      </c>
      <c r="C329" s="10">
        <v>270.06202044915898</v>
      </c>
    </row>
    <row r="330" spans="1:3" x14ac:dyDescent="0.25">
      <c r="A330" s="10">
        <v>2025</v>
      </c>
      <c r="B330" s="10">
        <v>5</v>
      </c>
      <c r="C330" s="10">
        <v>259.92254165896099</v>
      </c>
    </row>
    <row r="331" spans="1:3" x14ac:dyDescent="0.25">
      <c r="A331" s="10">
        <v>2025</v>
      </c>
      <c r="B331" s="10">
        <v>6</v>
      </c>
      <c r="C331" s="10">
        <v>263.90292319513497</v>
      </c>
    </row>
    <row r="332" spans="1:3" x14ac:dyDescent="0.25">
      <c r="A332" s="10">
        <v>2025</v>
      </c>
      <c r="B332" s="10">
        <v>7</v>
      </c>
      <c r="C332" s="10">
        <v>265.41002516245101</v>
      </c>
    </row>
    <row r="333" spans="1:3" x14ac:dyDescent="0.25">
      <c r="A333" s="10">
        <v>2025</v>
      </c>
      <c r="B333" s="10">
        <v>8</v>
      </c>
      <c r="C333" s="10">
        <v>266.183874245222</v>
      </c>
    </row>
    <row r="334" spans="1:3" x14ac:dyDescent="0.25">
      <c r="A334" s="10">
        <v>2025</v>
      </c>
      <c r="B334" s="10">
        <v>9</v>
      </c>
      <c r="C334" s="10">
        <v>258.708152990408</v>
      </c>
    </row>
    <row r="335" spans="1:3" x14ac:dyDescent="0.25">
      <c r="A335" s="10">
        <v>2025</v>
      </c>
      <c r="B335" s="10">
        <v>10</v>
      </c>
      <c r="C335" s="10">
        <v>262.06456103764498</v>
      </c>
    </row>
    <row r="336" spans="1:3" x14ac:dyDescent="0.25">
      <c r="A336" s="10">
        <v>2025</v>
      </c>
      <c r="B336" s="10">
        <v>11</v>
      </c>
      <c r="C336" s="10">
        <v>256.93401424178001</v>
      </c>
    </row>
    <row r="337" spans="1:3" x14ac:dyDescent="0.25">
      <c r="A337" s="10">
        <v>2025</v>
      </c>
      <c r="B337" s="10">
        <v>12</v>
      </c>
      <c r="C337" s="10">
        <v>249.487366923926</v>
      </c>
    </row>
    <row r="338" spans="1:3" x14ac:dyDescent="0.25">
      <c r="A338" s="10">
        <v>2026</v>
      </c>
      <c r="B338" s="10">
        <v>1</v>
      </c>
      <c r="C338" s="10">
        <v>246.794072307563</v>
      </c>
    </row>
    <row r="339" spans="1:3" x14ac:dyDescent="0.25">
      <c r="A339" s="10">
        <v>2026</v>
      </c>
      <c r="B339" s="10">
        <v>2</v>
      </c>
      <c r="C339" s="10">
        <v>245.176127108754</v>
      </c>
    </row>
    <row r="340" spans="1:3" x14ac:dyDescent="0.25">
      <c r="A340" s="10">
        <v>2026</v>
      </c>
      <c r="B340" s="10">
        <v>3</v>
      </c>
      <c r="C340" s="10">
        <v>246.41100209717601</v>
      </c>
    </row>
    <row r="341" spans="1:3" x14ac:dyDescent="0.25">
      <c r="A341" s="10">
        <v>2026</v>
      </c>
      <c r="B341" s="10">
        <v>4</v>
      </c>
      <c r="C341" s="10">
        <v>239.41535507879101</v>
      </c>
    </row>
    <row r="342" spans="1:3" x14ac:dyDescent="0.25">
      <c r="A342" s="10">
        <v>2026</v>
      </c>
      <c r="B342" s="10">
        <v>5</v>
      </c>
      <c r="C342" s="10">
        <v>249.20378098203901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91BC-2DF8-49FD-8682-D569D26F8F72}">
  <dimension ref="A1:C334"/>
  <sheetViews>
    <sheetView workbookViewId="0">
      <selection activeCell="C2" sqref="C2:C334"/>
    </sheetView>
  </sheetViews>
  <sheetFormatPr baseColWidth="10" defaultRowHeight="15" x14ac:dyDescent="0.25"/>
  <cols>
    <col min="1" max="16384" width="11.42578125" style="11"/>
  </cols>
  <sheetData>
    <row r="1" spans="1:3" ht="42.75" x14ac:dyDescent="0.25">
      <c r="A1" s="9" t="s">
        <v>30</v>
      </c>
      <c r="B1" s="9" t="s">
        <v>31</v>
      </c>
      <c r="C1" s="9" t="s">
        <v>32</v>
      </c>
    </row>
    <row r="2" spans="1:3" x14ac:dyDescent="0.25">
      <c r="A2" s="10">
        <v>1998</v>
      </c>
      <c r="B2" s="10">
        <v>1</v>
      </c>
      <c r="C2" s="10">
        <v>209.072159548863</v>
      </c>
    </row>
    <row r="3" spans="1:3" x14ac:dyDescent="0.25">
      <c r="A3" s="10">
        <v>1998</v>
      </c>
      <c r="B3" s="10">
        <v>2</v>
      </c>
      <c r="C3" s="10">
        <v>206.274149659758</v>
      </c>
    </row>
    <row r="4" spans="1:3" x14ac:dyDescent="0.25">
      <c r="A4" s="10">
        <v>1998</v>
      </c>
      <c r="B4" s="10">
        <v>3</v>
      </c>
      <c r="C4" s="10">
        <v>205.56417327461099</v>
      </c>
    </row>
    <row r="5" spans="1:3" x14ac:dyDescent="0.25">
      <c r="A5" s="10">
        <v>1998</v>
      </c>
      <c r="B5" s="10">
        <v>4</v>
      </c>
      <c r="C5" s="10">
        <v>208.120308866774</v>
      </c>
    </row>
    <row r="6" spans="1:3" x14ac:dyDescent="0.25">
      <c r="A6" s="10">
        <v>1998</v>
      </c>
      <c r="B6" s="10">
        <v>5</v>
      </c>
      <c r="C6" s="10">
        <v>206.90408657779901</v>
      </c>
    </row>
    <row r="7" spans="1:3" x14ac:dyDescent="0.25">
      <c r="A7" s="10">
        <v>1998</v>
      </c>
      <c r="B7" s="10">
        <v>6</v>
      </c>
      <c r="C7" s="10">
        <v>198.81143124742599</v>
      </c>
    </row>
    <row r="8" spans="1:3" x14ac:dyDescent="0.25">
      <c r="A8" s="10">
        <v>1998</v>
      </c>
      <c r="B8" s="10">
        <v>7</v>
      </c>
      <c r="C8" s="10">
        <v>186.462538060632</v>
      </c>
    </row>
    <row r="9" spans="1:3" x14ac:dyDescent="0.25">
      <c r="A9" s="10">
        <v>1998</v>
      </c>
      <c r="B9" s="10">
        <v>8</v>
      </c>
      <c r="C9" s="10">
        <v>204.02774097643999</v>
      </c>
    </row>
    <row r="10" spans="1:3" x14ac:dyDescent="0.25">
      <c r="A10" s="10">
        <v>1998</v>
      </c>
      <c r="B10" s="10">
        <v>9</v>
      </c>
      <c r="C10" s="10">
        <v>201.886623464916</v>
      </c>
    </row>
    <row r="11" spans="1:3" x14ac:dyDescent="0.25">
      <c r="A11" s="10">
        <v>1998</v>
      </c>
      <c r="B11" s="10">
        <v>10</v>
      </c>
      <c r="C11" s="10">
        <v>208.56323922369799</v>
      </c>
    </row>
    <row r="12" spans="1:3" x14ac:dyDescent="0.25">
      <c r="A12" s="10">
        <v>1998</v>
      </c>
      <c r="B12" s="10">
        <v>11</v>
      </c>
      <c r="C12" s="10">
        <v>213.68534361553199</v>
      </c>
    </row>
    <row r="13" spans="1:3" x14ac:dyDescent="0.25">
      <c r="A13" s="10">
        <v>1998</v>
      </c>
      <c r="B13" s="10">
        <v>12</v>
      </c>
      <c r="C13" s="10">
        <v>217.46186268720101</v>
      </c>
    </row>
    <row r="14" spans="1:3" x14ac:dyDescent="0.25">
      <c r="A14" s="10">
        <v>1999</v>
      </c>
      <c r="B14" s="10">
        <v>1</v>
      </c>
      <c r="C14" s="10">
        <v>218.052874735008</v>
      </c>
    </row>
    <row r="15" spans="1:3" x14ac:dyDescent="0.25">
      <c r="A15" s="10">
        <v>1999</v>
      </c>
      <c r="B15" s="10">
        <v>2</v>
      </c>
      <c r="C15" s="10">
        <v>221.98663108037499</v>
      </c>
    </row>
    <row r="16" spans="1:3" x14ac:dyDescent="0.25">
      <c r="A16" s="10">
        <v>1999</v>
      </c>
      <c r="B16" s="10">
        <v>3</v>
      </c>
      <c r="C16" s="10">
        <v>223.55055620658999</v>
      </c>
    </row>
    <row r="17" spans="1:3" x14ac:dyDescent="0.25">
      <c r="A17" s="10">
        <v>1999</v>
      </c>
      <c r="B17" s="10">
        <v>4</v>
      </c>
      <c r="C17" s="10">
        <v>220.00360966222499</v>
      </c>
    </row>
    <row r="18" spans="1:3" x14ac:dyDescent="0.25">
      <c r="A18" s="10">
        <v>1999</v>
      </c>
      <c r="B18" s="10">
        <v>5</v>
      </c>
      <c r="C18" s="10">
        <v>236.75657555452699</v>
      </c>
    </row>
    <row r="19" spans="1:3" x14ac:dyDescent="0.25">
      <c r="A19" s="10">
        <v>1999</v>
      </c>
      <c r="B19" s="10">
        <v>6</v>
      </c>
      <c r="C19" s="10">
        <v>219.614998674297</v>
      </c>
    </row>
    <row r="20" spans="1:3" x14ac:dyDescent="0.25">
      <c r="A20" s="10">
        <v>1999</v>
      </c>
      <c r="B20" s="10">
        <v>7</v>
      </c>
      <c r="C20" s="10">
        <v>216.65247839680799</v>
      </c>
    </row>
    <row r="21" spans="1:3" x14ac:dyDescent="0.25">
      <c r="A21" s="10">
        <v>1999</v>
      </c>
      <c r="B21" s="10">
        <v>8</v>
      </c>
      <c r="C21" s="10">
        <v>230.56857447990899</v>
      </c>
    </row>
    <row r="22" spans="1:3" x14ac:dyDescent="0.25">
      <c r="A22" s="10">
        <v>1999</v>
      </c>
      <c r="B22" s="10">
        <v>9</v>
      </c>
      <c r="C22" s="10">
        <v>228.32506170433101</v>
      </c>
    </row>
    <row r="23" spans="1:3" x14ac:dyDescent="0.25">
      <c r="A23" s="10">
        <v>1999</v>
      </c>
      <c r="B23" s="10">
        <v>10</v>
      </c>
      <c r="C23" s="10">
        <v>235.671714430572</v>
      </c>
    </row>
    <row r="24" spans="1:3" x14ac:dyDescent="0.25">
      <c r="A24" s="10">
        <v>1999</v>
      </c>
      <c r="B24" s="10">
        <v>11</v>
      </c>
      <c r="C24" s="10">
        <v>236.82356802544999</v>
      </c>
    </row>
    <row r="25" spans="1:3" x14ac:dyDescent="0.25">
      <c r="A25" s="10">
        <v>1999</v>
      </c>
      <c r="B25" s="10">
        <v>12</v>
      </c>
      <c r="C25" s="10">
        <v>229.282194482503</v>
      </c>
    </row>
    <row r="26" spans="1:3" x14ac:dyDescent="0.25">
      <c r="A26" s="10">
        <v>2000</v>
      </c>
      <c r="B26" s="10">
        <v>1</v>
      </c>
      <c r="C26" s="10">
        <v>236.87293028539901</v>
      </c>
    </row>
    <row r="27" spans="1:3" x14ac:dyDescent="0.25">
      <c r="A27" s="10">
        <v>2000</v>
      </c>
      <c r="B27" s="10">
        <v>2</v>
      </c>
      <c r="C27" s="10">
        <v>229.11219448890901</v>
      </c>
    </row>
    <row r="28" spans="1:3" x14ac:dyDescent="0.25">
      <c r="A28" s="10">
        <v>2000</v>
      </c>
      <c r="B28" s="10">
        <v>3</v>
      </c>
      <c r="C28" s="10">
        <v>233.273444480742</v>
      </c>
    </row>
    <row r="29" spans="1:3" x14ac:dyDescent="0.25">
      <c r="A29" s="10">
        <v>2000</v>
      </c>
      <c r="B29" s="10">
        <v>4</v>
      </c>
      <c r="C29" s="10">
        <v>226.020323518569</v>
      </c>
    </row>
    <row r="30" spans="1:3" x14ac:dyDescent="0.25">
      <c r="A30" s="10">
        <v>2000</v>
      </c>
      <c r="B30" s="10">
        <v>5</v>
      </c>
      <c r="C30" s="10">
        <v>227.55952497944801</v>
      </c>
    </row>
    <row r="31" spans="1:3" x14ac:dyDescent="0.25">
      <c r="A31" s="10">
        <v>2000</v>
      </c>
      <c r="B31" s="10">
        <v>6</v>
      </c>
      <c r="C31" s="10">
        <v>226.547496396177</v>
      </c>
    </row>
    <row r="32" spans="1:3" x14ac:dyDescent="0.25">
      <c r="A32" s="10">
        <v>2000</v>
      </c>
      <c r="B32" s="10">
        <v>7</v>
      </c>
      <c r="C32" s="10">
        <v>230.071394205818</v>
      </c>
    </row>
    <row r="33" spans="1:3" x14ac:dyDescent="0.25">
      <c r="A33" s="10">
        <v>2000</v>
      </c>
      <c r="B33" s="10">
        <v>8</v>
      </c>
      <c r="C33" s="10">
        <v>221.27502079996299</v>
      </c>
    </row>
    <row r="34" spans="1:3" x14ac:dyDescent="0.25">
      <c r="A34" s="10">
        <v>2000</v>
      </c>
      <c r="B34" s="10">
        <v>9</v>
      </c>
      <c r="C34" s="10">
        <v>229.460750220774</v>
      </c>
    </row>
    <row r="35" spans="1:3" x14ac:dyDescent="0.25">
      <c r="A35" s="10">
        <v>2000</v>
      </c>
      <c r="B35" s="10">
        <v>10</v>
      </c>
      <c r="C35" s="10">
        <v>216.030342962802</v>
      </c>
    </row>
    <row r="36" spans="1:3" x14ac:dyDescent="0.25">
      <c r="A36" s="10">
        <v>2000</v>
      </c>
      <c r="B36" s="10">
        <v>11</v>
      </c>
      <c r="C36" s="10">
        <v>222.81632390055501</v>
      </c>
    </row>
    <row r="37" spans="1:3" x14ac:dyDescent="0.25">
      <c r="A37" s="10">
        <v>2000</v>
      </c>
      <c r="B37" s="10">
        <v>12</v>
      </c>
      <c r="C37" s="10">
        <v>229.92957714709399</v>
      </c>
    </row>
    <row r="38" spans="1:3" x14ac:dyDescent="0.25">
      <c r="A38" s="10">
        <v>2001</v>
      </c>
      <c r="B38" s="10">
        <v>1</v>
      </c>
      <c r="C38" s="10">
        <v>218.90592833190701</v>
      </c>
    </row>
    <row r="39" spans="1:3" x14ac:dyDescent="0.25">
      <c r="A39" s="10">
        <v>2001</v>
      </c>
      <c r="B39" s="10">
        <v>2</v>
      </c>
      <c r="C39" s="10">
        <v>228.61421135560801</v>
      </c>
    </row>
    <row r="40" spans="1:3" x14ac:dyDescent="0.25">
      <c r="A40" s="10">
        <v>2001</v>
      </c>
      <c r="B40" s="10">
        <v>3</v>
      </c>
      <c r="C40" s="10">
        <v>207.122439833437</v>
      </c>
    </row>
    <row r="41" spans="1:3" x14ac:dyDescent="0.25">
      <c r="A41" s="10">
        <v>2001</v>
      </c>
      <c r="B41" s="10">
        <v>4</v>
      </c>
      <c r="C41" s="10">
        <v>212.19881444079499</v>
      </c>
    </row>
    <row r="42" spans="1:3" x14ac:dyDescent="0.25">
      <c r="A42" s="10">
        <v>2001</v>
      </c>
      <c r="B42" s="10">
        <v>5</v>
      </c>
      <c r="C42" s="10">
        <v>203.28360100490701</v>
      </c>
    </row>
    <row r="43" spans="1:3" x14ac:dyDescent="0.25">
      <c r="A43" s="10">
        <v>2001</v>
      </c>
      <c r="B43" s="10">
        <v>6</v>
      </c>
      <c r="C43" s="10">
        <v>208.52311961792</v>
      </c>
    </row>
    <row r="44" spans="1:3" x14ac:dyDescent="0.25">
      <c r="A44" s="10">
        <v>2001</v>
      </c>
      <c r="B44" s="10">
        <v>7</v>
      </c>
      <c r="C44" s="10">
        <v>203.265792615571</v>
      </c>
    </row>
    <row r="45" spans="1:3" x14ac:dyDescent="0.25">
      <c r="A45" s="10">
        <v>2001</v>
      </c>
      <c r="B45" s="10">
        <v>8</v>
      </c>
      <c r="C45" s="10">
        <v>203.51639166381801</v>
      </c>
    </row>
    <row r="46" spans="1:3" x14ac:dyDescent="0.25">
      <c r="A46" s="10">
        <v>2001</v>
      </c>
      <c r="B46" s="10">
        <v>9</v>
      </c>
      <c r="C46" s="10">
        <v>201.15736852103001</v>
      </c>
    </row>
    <row r="47" spans="1:3" x14ac:dyDescent="0.25">
      <c r="A47" s="10">
        <v>2001</v>
      </c>
      <c r="B47" s="10">
        <v>10</v>
      </c>
      <c r="C47" s="10">
        <v>201.16148219581601</v>
      </c>
    </row>
    <row r="48" spans="1:3" x14ac:dyDescent="0.25">
      <c r="A48" s="10">
        <v>2001</v>
      </c>
      <c r="B48" s="10">
        <v>11</v>
      </c>
      <c r="C48" s="10">
        <v>198.82722102086601</v>
      </c>
    </row>
    <row r="49" spans="1:3" x14ac:dyDescent="0.25">
      <c r="A49" s="10">
        <v>2001</v>
      </c>
      <c r="B49" s="10">
        <v>12</v>
      </c>
      <c r="C49" s="10">
        <v>199.128142915495</v>
      </c>
    </row>
    <row r="50" spans="1:3" x14ac:dyDescent="0.25">
      <c r="A50" s="10">
        <v>2002</v>
      </c>
      <c r="B50" s="10">
        <v>1</v>
      </c>
      <c r="C50" s="10">
        <v>185.79618274429399</v>
      </c>
    </row>
    <row r="51" spans="1:3" x14ac:dyDescent="0.25">
      <c r="A51" s="10">
        <v>2002</v>
      </c>
      <c r="B51" s="10">
        <v>2</v>
      </c>
      <c r="C51" s="10">
        <v>213.06928085190401</v>
      </c>
    </row>
    <row r="52" spans="1:3" x14ac:dyDescent="0.25">
      <c r="A52" s="10">
        <v>2002</v>
      </c>
      <c r="B52" s="10">
        <v>3</v>
      </c>
      <c r="C52" s="10">
        <v>216.847139269438</v>
      </c>
    </row>
    <row r="53" spans="1:3" x14ac:dyDescent="0.25">
      <c r="A53" s="10">
        <v>2002</v>
      </c>
      <c r="B53" s="10">
        <v>4</v>
      </c>
      <c r="C53" s="10">
        <v>220.865585660969</v>
      </c>
    </row>
    <row r="54" spans="1:3" x14ac:dyDescent="0.25">
      <c r="A54" s="10">
        <v>2002</v>
      </c>
      <c r="B54" s="10">
        <v>5</v>
      </c>
      <c r="C54" s="10">
        <v>217.61136082840201</v>
      </c>
    </row>
    <row r="55" spans="1:3" x14ac:dyDescent="0.25">
      <c r="A55" s="10">
        <v>2002</v>
      </c>
      <c r="B55" s="10">
        <v>6</v>
      </c>
      <c r="C55" s="10">
        <v>242.58946517579301</v>
      </c>
    </row>
    <row r="56" spans="1:3" x14ac:dyDescent="0.25">
      <c r="A56" s="10">
        <v>2002</v>
      </c>
      <c r="B56" s="10">
        <v>7</v>
      </c>
      <c r="C56" s="10">
        <v>219.26065405397301</v>
      </c>
    </row>
    <row r="57" spans="1:3" x14ac:dyDescent="0.25">
      <c r="A57" s="10">
        <v>2002</v>
      </c>
      <c r="B57" s="10">
        <v>8</v>
      </c>
      <c r="C57" s="10">
        <v>203.932848774912</v>
      </c>
    </row>
    <row r="58" spans="1:3" x14ac:dyDescent="0.25">
      <c r="A58" s="10">
        <v>2002</v>
      </c>
      <c r="B58" s="10">
        <v>9</v>
      </c>
      <c r="C58" s="10">
        <v>202.82362897841199</v>
      </c>
    </row>
    <row r="59" spans="1:3" x14ac:dyDescent="0.25">
      <c r="A59" s="10">
        <v>2002</v>
      </c>
      <c r="B59" s="10">
        <v>10</v>
      </c>
      <c r="C59" s="10">
        <v>197.65919465863999</v>
      </c>
    </row>
    <row r="60" spans="1:3" x14ac:dyDescent="0.25">
      <c r="A60" s="10">
        <v>2002</v>
      </c>
      <c r="B60" s="10">
        <v>11</v>
      </c>
      <c r="C60" s="10">
        <v>199.978843316238</v>
      </c>
    </row>
    <row r="61" spans="1:3" x14ac:dyDescent="0.25">
      <c r="A61" s="10">
        <v>2002</v>
      </c>
      <c r="B61" s="10">
        <v>12</v>
      </c>
      <c r="C61" s="10">
        <v>201.57615159492801</v>
      </c>
    </row>
    <row r="62" spans="1:3" x14ac:dyDescent="0.25">
      <c r="A62" s="10">
        <v>2003</v>
      </c>
      <c r="B62" s="10">
        <v>1</v>
      </c>
      <c r="C62" s="10">
        <v>203.53425014330199</v>
      </c>
    </row>
    <row r="63" spans="1:3" x14ac:dyDescent="0.25">
      <c r="A63" s="10">
        <v>2003</v>
      </c>
      <c r="B63" s="10">
        <v>2</v>
      </c>
      <c r="C63" s="10">
        <v>204.835621095531</v>
      </c>
    </row>
    <row r="64" spans="1:3" x14ac:dyDescent="0.25">
      <c r="A64" s="10">
        <v>2003</v>
      </c>
      <c r="B64" s="10">
        <v>3</v>
      </c>
      <c r="C64" s="10">
        <v>207.96985684047999</v>
      </c>
    </row>
    <row r="65" spans="1:3" x14ac:dyDescent="0.25">
      <c r="A65" s="10">
        <v>2003</v>
      </c>
      <c r="B65" s="10">
        <v>4</v>
      </c>
      <c r="C65" s="10">
        <v>221.96754982311899</v>
      </c>
    </row>
    <row r="66" spans="1:3" x14ac:dyDescent="0.25">
      <c r="A66" s="10">
        <v>2003</v>
      </c>
      <c r="B66" s="10">
        <v>5</v>
      </c>
      <c r="C66" s="10">
        <v>215.812212033131</v>
      </c>
    </row>
    <row r="67" spans="1:3" x14ac:dyDescent="0.25">
      <c r="A67" s="10">
        <v>2003</v>
      </c>
      <c r="B67" s="10">
        <v>6</v>
      </c>
      <c r="C67" s="10">
        <v>219.75893826612301</v>
      </c>
    </row>
    <row r="68" spans="1:3" x14ac:dyDescent="0.25">
      <c r="A68" s="10">
        <v>2003</v>
      </c>
      <c r="B68" s="10">
        <v>7</v>
      </c>
      <c r="C68" s="10">
        <v>221.97830810971601</v>
      </c>
    </row>
    <row r="69" spans="1:3" x14ac:dyDescent="0.25">
      <c r="A69" s="10">
        <v>2003</v>
      </c>
      <c r="B69" s="10">
        <v>8</v>
      </c>
      <c r="C69" s="10">
        <v>226.13801389928099</v>
      </c>
    </row>
    <row r="70" spans="1:3" x14ac:dyDescent="0.25">
      <c r="A70" s="10">
        <v>2003</v>
      </c>
      <c r="B70" s="10">
        <v>9</v>
      </c>
      <c r="C70" s="10">
        <v>228.68453845964399</v>
      </c>
    </row>
    <row r="71" spans="1:3" x14ac:dyDescent="0.25">
      <c r="A71" s="10">
        <v>2003</v>
      </c>
      <c r="B71" s="10">
        <v>10</v>
      </c>
      <c r="C71" s="10">
        <v>231.61275475339801</v>
      </c>
    </row>
    <row r="72" spans="1:3" x14ac:dyDescent="0.25">
      <c r="A72" s="10">
        <v>2003</v>
      </c>
      <c r="B72" s="10">
        <v>11</v>
      </c>
      <c r="C72" s="10">
        <v>236.15501678062699</v>
      </c>
    </row>
    <row r="73" spans="1:3" x14ac:dyDescent="0.25">
      <c r="A73" s="10">
        <v>2003</v>
      </c>
      <c r="B73" s="10">
        <v>12</v>
      </c>
      <c r="C73" s="10">
        <v>241.193805733516</v>
      </c>
    </row>
    <row r="74" spans="1:3" x14ac:dyDescent="0.25">
      <c r="A74" s="10">
        <v>2004</v>
      </c>
      <c r="B74" s="10">
        <v>1</v>
      </c>
      <c r="C74" s="10">
        <v>238.97198933232099</v>
      </c>
    </row>
    <row r="75" spans="1:3" x14ac:dyDescent="0.25">
      <c r="A75" s="10">
        <v>2004</v>
      </c>
      <c r="B75" s="10">
        <v>2</v>
      </c>
      <c r="C75" s="10">
        <v>250.20219171600999</v>
      </c>
    </row>
    <row r="76" spans="1:3" x14ac:dyDescent="0.25">
      <c r="A76" s="10">
        <v>2004</v>
      </c>
      <c r="B76" s="10">
        <v>3</v>
      </c>
      <c r="C76" s="10">
        <v>249.52844211395501</v>
      </c>
    </row>
    <row r="77" spans="1:3" x14ac:dyDescent="0.25">
      <c r="A77" s="10">
        <v>2004</v>
      </c>
      <c r="B77" s="10">
        <v>4</v>
      </c>
      <c r="C77" s="10">
        <v>242.133178112965</v>
      </c>
    </row>
    <row r="78" spans="1:3" x14ac:dyDescent="0.25">
      <c r="A78" s="10">
        <v>2004</v>
      </c>
      <c r="B78" s="10">
        <v>5</v>
      </c>
      <c r="C78" s="10">
        <v>258.53607061416</v>
      </c>
    </row>
    <row r="79" spans="1:3" x14ac:dyDescent="0.25">
      <c r="A79" s="10">
        <v>2004</v>
      </c>
      <c r="B79" s="10">
        <v>6</v>
      </c>
      <c r="C79" s="10">
        <v>259.48952117767101</v>
      </c>
    </row>
    <row r="80" spans="1:3" x14ac:dyDescent="0.25">
      <c r="A80" s="10">
        <v>2004</v>
      </c>
      <c r="B80" s="10">
        <v>7</v>
      </c>
      <c r="C80" s="10">
        <v>252.992850487097</v>
      </c>
    </row>
    <row r="81" spans="1:3" x14ac:dyDescent="0.25">
      <c r="A81" s="10">
        <v>2004</v>
      </c>
      <c r="B81" s="10">
        <v>8</v>
      </c>
      <c r="C81" s="10">
        <v>251.99812425519201</v>
      </c>
    </row>
    <row r="82" spans="1:3" x14ac:dyDescent="0.25">
      <c r="A82" s="10">
        <v>2004</v>
      </c>
      <c r="B82" s="10">
        <v>9</v>
      </c>
      <c r="C82" s="10">
        <v>250.870209284878</v>
      </c>
    </row>
    <row r="83" spans="1:3" x14ac:dyDescent="0.25">
      <c r="A83" s="10">
        <v>2004</v>
      </c>
      <c r="B83" s="10">
        <v>10</v>
      </c>
      <c r="C83" s="10">
        <v>255.646364891291</v>
      </c>
    </row>
    <row r="84" spans="1:3" x14ac:dyDescent="0.25">
      <c r="A84" s="10">
        <v>2004</v>
      </c>
      <c r="B84" s="10">
        <v>11</v>
      </c>
      <c r="C84" s="10">
        <v>255.52378459871599</v>
      </c>
    </row>
    <row r="85" spans="1:3" x14ac:dyDescent="0.25">
      <c r="A85" s="10">
        <v>2004</v>
      </c>
      <c r="B85" s="10">
        <v>12</v>
      </c>
      <c r="C85" s="10">
        <v>256.59134896928498</v>
      </c>
    </row>
    <row r="86" spans="1:3" x14ac:dyDescent="0.25">
      <c r="A86" s="10">
        <v>2005</v>
      </c>
      <c r="B86" s="10">
        <v>1</v>
      </c>
      <c r="C86" s="10">
        <v>257.141873563508</v>
      </c>
    </row>
    <row r="87" spans="1:3" x14ac:dyDescent="0.25">
      <c r="A87" s="10">
        <v>2005</v>
      </c>
      <c r="B87" s="10">
        <v>2</v>
      </c>
      <c r="C87" s="10">
        <v>258.65238273750998</v>
      </c>
    </row>
    <row r="88" spans="1:3" x14ac:dyDescent="0.25">
      <c r="A88" s="10">
        <v>2005</v>
      </c>
      <c r="B88" s="10">
        <v>3</v>
      </c>
      <c r="C88" s="10">
        <v>242.11312409124301</v>
      </c>
    </row>
    <row r="89" spans="1:3" x14ac:dyDescent="0.25">
      <c r="A89" s="10">
        <v>2005</v>
      </c>
      <c r="B89" s="10">
        <v>4</v>
      </c>
      <c r="C89" s="10">
        <v>281.51406063295099</v>
      </c>
    </row>
    <row r="90" spans="1:3" x14ac:dyDescent="0.25">
      <c r="A90" s="10">
        <v>2005</v>
      </c>
      <c r="B90" s="10">
        <v>5</v>
      </c>
      <c r="C90" s="10">
        <v>280.26239459486499</v>
      </c>
    </row>
    <row r="91" spans="1:3" x14ac:dyDescent="0.25">
      <c r="A91" s="10">
        <v>2005</v>
      </c>
      <c r="B91" s="10">
        <v>6</v>
      </c>
      <c r="C91" s="10">
        <v>263.31967513983301</v>
      </c>
    </row>
    <row r="92" spans="1:3" x14ac:dyDescent="0.25">
      <c r="A92" s="10">
        <v>2005</v>
      </c>
      <c r="B92" s="10">
        <v>7</v>
      </c>
      <c r="C92" s="10">
        <v>261.36352555094197</v>
      </c>
    </row>
    <row r="93" spans="1:3" x14ac:dyDescent="0.25">
      <c r="A93" s="10">
        <v>2005</v>
      </c>
      <c r="B93" s="10">
        <v>8</v>
      </c>
      <c r="C93" s="10">
        <v>260.37008721039598</v>
      </c>
    </row>
    <row r="94" spans="1:3" x14ac:dyDescent="0.25">
      <c r="A94" s="10">
        <v>2005</v>
      </c>
      <c r="B94" s="10">
        <v>9</v>
      </c>
      <c r="C94" s="10">
        <v>261.33901890281402</v>
      </c>
    </row>
    <row r="95" spans="1:3" x14ac:dyDescent="0.25">
      <c r="A95" s="10">
        <v>2005</v>
      </c>
      <c r="B95" s="10">
        <v>10</v>
      </c>
      <c r="C95" s="10">
        <v>266.52907019512298</v>
      </c>
    </row>
    <row r="96" spans="1:3" x14ac:dyDescent="0.25">
      <c r="A96" s="10">
        <v>2005</v>
      </c>
      <c r="B96" s="10">
        <v>11</v>
      </c>
      <c r="C96" s="10">
        <v>260.75805500228</v>
      </c>
    </row>
    <row r="97" spans="1:3" x14ac:dyDescent="0.25">
      <c r="A97" s="10">
        <v>2005</v>
      </c>
      <c r="B97" s="10">
        <v>12</v>
      </c>
      <c r="C97" s="10">
        <v>259.02637679449703</v>
      </c>
    </row>
    <row r="98" spans="1:3" x14ac:dyDescent="0.25">
      <c r="A98" s="10">
        <v>2006</v>
      </c>
      <c r="B98" s="10">
        <v>1</v>
      </c>
      <c r="C98" s="10">
        <v>260.14297397628098</v>
      </c>
    </row>
    <row r="99" spans="1:3" x14ac:dyDescent="0.25">
      <c r="A99" s="10">
        <v>2006</v>
      </c>
      <c r="B99" s="10">
        <v>2</v>
      </c>
      <c r="C99" s="10">
        <v>249.86513420572101</v>
      </c>
    </row>
    <row r="100" spans="1:3" x14ac:dyDescent="0.25">
      <c r="A100" s="10">
        <v>2006</v>
      </c>
      <c r="B100" s="10">
        <v>3</v>
      </c>
      <c r="C100" s="10">
        <v>250.160120917265</v>
      </c>
    </row>
    <row r="101" spans="1:3" x14ac:dyDescent="0.25">
      <c r="A101" s="10">
        <v>2006</v>
      </c>
      <c r="B101" s="10">
        <v>4</v>
      </c>
      <c r="C101" s="10">
        <v>231.60024772790101</v>
      </c>
    </row>
    <row r="102" spans="1:3" x14ac:dyDescent="0.25">
      <c r="A102" s="10">
        <v>2006</v>
      </c>
      <c r="B102" s="10">
        <v>5</v>
      </c>
      <c r="C102" s="10">
        <v>225.59886060842399</v>
      </c>
    </row>
    <row r="103" spans="1:3" x14ac:dyDescent="0.25">
      <c r="A103" s="10">
        <v>2006</v>
      </c>
      <c r="B103" s="10">
        <v>6</v>
      </c>
      <c r="C103" s="10">
        <v>238.571273198596</v>
      </c>
    </row>
    <row r="104" spans="1:3" x14ac:dyDescent="0.25">
      <c r="A104" s="10">
        <v>2006</v>
      </c>
      <c r="B104" s="10">
        <v>7</v>
      </c>
      <c r="C104" s="10">
        <v>249.95447118913501</v>
      </c>
    </row>
    <row r="105" spans="1:3" x14ac:dyDescent="0.25">
      <c r="A105" s="10">
        <v>2006</v>
      </c>
      <c r="B105" s="10">
        <v>8</v>
      </c>
      <c r="C105" s="10">
        <v>273.58244719848898</v>
      </c>
    </row>
    <row r="106" spans="1:3" x14ac:dyDescent="0.25">
      <c r="A106" s="10">
        <v>2006</v>
      </c>
      <c r="B106" s="10">
        <v>9</v>
      </c>
      <c r="C106" s="10">
        <v>272.79252143703201</v>
      </c>
    </row>
    <row r="107" spans="1:3" x14ac:dyDescent="0.25">
      <c r="A107" s="10">
        <v>2006</v>
      </c>
      <c r="B107" s="10">
        <v>10</v>
      </c>
      <c r="C107" s="10">
        <v>269.67037104433399</v>
      </c>
    </row>
    <row r="108" spans="1:3" x14ac:dyDescent="0.25">
      <c r="A108" s="10">
        <v>2006</v>
      </c>
      <c r="B108" s="10">
        <v>11</v>
      </c>
      <c r="C108" s="10">
        <v>270.35577595004202</v>
      </c>
    </row>
    <row r="109" spans="1:3" x14ac:dyDescent="0.25">
      <c r="A109" s="10">
        <v>2006</v>
      </c>
      <c r="B109" s="10">
        <v>12</v>
      </c>
      <c r="C109" s="10">
        <v>250.31651625543299</v>
      </c>
    </row>
    <row r="110" spans="1:3" x14ac:dyDescent="0.25">
      <c r="A110" s="10">
        <v>2007</v>
      </c>
      <c r="B110" s="10">
        <v>1</v>
      </c>
      <c r="C110" s="10">
        <v>262.20242701369398</v>
      </c>
    </row>
    <row r="111" spans="1:3" x14ac:dyDescent="0.25">
      <c r="A111" s="10">
        <v>2007</v>
      </c>
      <c r="B111" s="10">
        <v>2</v>
      </c>
      <c r="C111" s="10">
        <v>263.48371898192102</v>
      </c>
    </row>
    <row r="112" spans="1:3" x14ac:dyDescent="0.25">
      <c r="A112" s="10">
        <v>2007</v>
      </c>
      <c r="B112" s="10">
        <v>3</v>
      </c>
      <c r="C112" s="10">
        <v>259.17140284830202</v>
      </c>
    </row>
    <row r="113" spans="1:3" x14ac:dyDescent="0.25">
      <c r="A113" s="10">
        <v>2007</v>
      </c>
      <c r="B113" s="10">
        <v>4</v>
      </c>
      <c r="C113" s="10">
        <v>259.45888921241402</v>
      </c>
    </row>
    <row r="114" spans="1:3" x14ac:dyDescent="0.25">
      <c r="A114" s="10">
        <v>2007</v>
      </c>
      <c r="B114" s="10">
        <v>5</v>
      </c>
      <c r="C114" s="10">
        <v>258.96327671192898</v>
      </c>
    </row>
    <row r="115" spans="1:3" x14ac:dyDescent="0.25">
      <c r="A115" s="10">
        <v>2007</v>
      </c>
      <c r="B115" s="10">
        <v>6</v>
      </c>
      <c r="C115" s="10">
        <v>271.54973885488602</v>
      </c>
    </row>
    <row r="116" spans="1:3" x14ac:dyDescent="0.25">
      <c r="A116" s="10">
        <v>2007</v>
      </c>
      <c r="B116" s="10">
        <v>7</v>
      </c>
      <c r="C116" s="10">
        <v>274.020170593182</v>
      </c>
    </row>
    <row r="117" spans="1:3" x14ac:dyDescent="0.25">
      <c r="A117" s="10">
        <v>2007</v>
      </c>
      <c r="B117" s="10">
        <v>8</v>
      </c>
      <c r="C117" s="10">
        <v>275.439286792887</v>
      </c>
    </row>
    <row r="118" spans="1:3" x14ac:dyDescent="0.25">
      <c r="A118" s="10">
        <v>2007</v>
      </c>
      <c r="B118" s="10">
        <v>9</v>
      </c>
      <c r="C118" s="10">
        <v>248.74454398495701</v>
      </c>
    </row>
    <row r="119" spans="1:3" x14ac:dyDescent="0.25">
      <c r="A119" s="10">
        <v>2007</v>
      </c>
      <c r="B119" s="10">
        <v>10</v>
      </c>
      <c r="C119" s="10">
        <v>271.91444388188398</v>
      </c>
    </row>
    <row r="120" spans="1:3" x14ac:dyDescent="0.25">
      <c r="A120" s="10">
        <v>2007</v>
      </c>
      <c r="B120" s="10">
        <v>11</v>
      </c>
      <c r="C120" s="10">
        <v>294.17479442788999</v>
      </c>
    </row>
    <row r="121" spans="1:3" x14ac:dyDescent="0.25">
      <c r="A121" s="10">
        <v>2007</v>
      </c>
      <c r="B121" s="10">
        <v>12</v>
      </c>
      <c r="C121" s="10">
        <v>283.45855314348398</v>
      </c>
    </row>
    <row r="122" spans="1:3" x14ac:dyDescent="0.25">
      <c r="A122" s="10">
        <v>2008</v>
      </c>
      <c r="B122" s="10">
        <v>1</v>
      </c>
      <c r="C122" s="10">
        <v>278.673637435557</v>
      </c>
    </row>
    <row r="123" spans="1:3" x14ac:dyDescent="0.25">
      <c r="A123" s="10">
        <v>2008</v>
      </c>
      <c r="B123" s="10">
        <v>2</v>
      </c>
      <c r="C123" s="10">
        <v>283.94189234528602</v>
      </c>
    </row>
    <row r="124" spans="1:3" x14ac:dyDescent="0.25">
      <c r="A124" s="10">
        <v>2008</v>
      </c>
      <c r="B124" s="10">
        <v>3</v>
      </c>
      <c r="C124" s="10">
        <v>170.643259159488</v>
      </c>
    </row>
    <row r="125" spans="1:3" x14ac:dyDescent="0.25">
      <c r="A125" s="10">
        <v>2008</v>
      </c>
      <c r="B125" s="10">
        <v>4</v>
      </c>
      <c r="C125" s="10">
        <v>300.349909020724</v>
      </c>
    </row>
    <row r="126" spans="1:3" x14ac:dyDescent="0.25">
      <c r="A126" s="10">
        <v>2008</v>
      </c>
      <c r="B126" s="10">
        <v>5</v>
      </c>
      <c r="C126" s="10">
        <v>237.726104350041</v>
      </c>
    </row>
    <row r="127" spans="1:3" x14ac:dyDescent="0.25">
      <c r="A127" s="10">
        <v>2008</v>
      </c>
      <c r="B127" s="10">
        <v>6</v>
      </c>
      <c r="C127" s="10">
        <v>226.49530896376999</v>
      </c>
    </row>
    <row r="128" spans="1:3" x14ac:dyDescent="0.25">
      <c r="A128" s="10">
        <v>2008</v>
      </c>
      <c r="B128" s="10">
        <v>7</v>
      </c>
      <c r="C128" s="10">
        <v>280.89616425823999</v>
      </c>
    </row>
    <row r="129" spans="1:3" x14ac:dyDescent="0.25">
      <c r="A129" s="10">
        <v>2008</v>
      </c>
      <c r="B129" s="10">
        <v>8</v>
      </c>
      <c r="C129" s="10">
        <v>277.22630709762802</v>
      </c>
    </row>
    <row r="130" spans="1:3" x14ac:dyDescent="0.25">
      <c r="A130" s="10">
        <v>2008</v>
      </c>
      <c r="B130" s="10">
        <v>9</v>
      </c>
      <c r="C130" s="10">
        <v>278.37194989522601</v>
      </c>
    </row>
    <row r="131" spans="1:3" x14ac:dyDescent="0.25">
      <c r="A131" s="10">
        <v>2008</v>
      </c>
      <c r="B131" s="10">
        <v>10</v>
      </c>
      <c r="C131" s="10">
        <v>264.42784325147602</v>
      </c>
    </row>
    <row r="132" spans="1:3" x14ac:dyDescent="0.25">
      <c r="A132" s="10">
        <v>2008</v>
      </c>
      <c r="B132" s="10">
        <v>11</v>
      </c>
      <c r="C132" s="10">
        <v>260.83655900043198</v>
      </c>
    </row>
    <row r="133" spans="1:3" x14ac:dyDescent="0.25">
      <c r="A133" s="10">
        <v>2008</v>
      </c>
      <c r="B133" s="10">
        <v>12</v>
      </c>
      <c r="C133" s="10">
        <v>267.06549182583399</v>
      </c>
    </row>
    <row r="134" spans="1:3" x14ac:dyDescent="0.25">
      <c r="A134" s="10">
        <v>2009</v>
      </c>
      <c r="B134" s="10">
        <v>1</v>
      </c>
      <c r="C134" s="10">
        <v>280.34781982706198</v>
      </c>
    </row>
    <row r="135" spans="1:3" x14ac:dyDescent="0.25">
      <c r="A135" s="10">
        <v>2009</v>
      </c>
      <c r="B135" s="10">
        <v>2</v>
      </c>
      <c r="C135" s="10">
        <v>278.54765210116398</v>
      </c>
    </row>
    <row r="136" spans="1:3" x14ac:dyDescent="0.25">
      <c r="A136" s="10">
        <v>2009</v>
      </c>
      <c r="B136" s="10">
        <v>3</v>
      </c>
      <c r="C136" s="10">
        <v>265.51919210131803</v>
      </c>
    </row>
    <row r="137" spans="1:3" x14ac:dyDescent="0.25">
      <c r="A137" s="10">
        <v>2009</v>
      </c>
      <c r="B137" s="10">
        <v>4</v>
      </c>
      <c r="C137" s="10">
        <v>293.985563398995</v>
      </c>
    </row>
    <row r="138" spans="1:3" x14ac:dyDescent="0.25">
      <c r="A138" s="10">
        <v>2009</v>
      </c>
      <c r="B138" s="10">
        <v>5</v>
      </c>
      <c r="C138" s="10">
        <v>273.15656245762199</v>
      </c>
    </row>
    <row r="139" spans="1:3" x14ac:dyDescent="0.25">
      <c r="A139" s="10">
        <v>2009</v>
      </c>
      <c r="B139" s="10">
        <v>6</v>
      </c>
      <c r="C139" s="10">
        <v>300.9094057213</v>
      </c>
    </row>
    <row r="140" spans="1:3" x14ac:dyDescent="0.25">
      <c r="A140" s="10">
        <v>2009</v>
      </c>
      <c r="B140" s="10">
        <v>7</v>
      </c>
      <c r="C140" s="10">
        <v>290.54066276692203</v>
      </c>
    </row>
    <row r="141" spans="1:3" x14ac:dyDescent="0.25">
      <c r="A141" s="10">
        <v>2009</v>
      </c>
      <c r="B141" s="10">
        <v>8</v>
      </c>
      <c r="C141" s="10">
        <v>289.12773382246002</v>
      </c>
    </row>
    <row r="142" spans="1:3" x14ac:dyDescent="0.25">
      <c r="A142" s="10">
        <v>2009</v>
      </c>
      <c r="B142" s="10">
        <v>9</v>
      </c>
      <c r="C142" s="10">
        <v>266.04170985624302</v>
      </c>
    </row>
    <row r="143" spans="1:3" x14ac:dyDescent="0.25">
      <c r="A143" s="10">
        <v>2009</v>
      </c>
      <c r="B143" s="10">
        <v>10</v>
      </c>
      <c r="C143" s="10">
        <v>294.17869045401898</v>
      </c>
    </row>
    <row r="144" spans="1:3" x14ac:dyDescent="0.25">
      <c r="A144" s="10">
        <v>2009</v>
      </c>
      <c r="B144" s="10">
        <v>11</v>
      </c>
      <c r="C144" s="10">
        <v>280.12916122511098</v>
      </c>
    </row>
    <row r="145" spans="1:3" x14ac:dyDescent="0.25">
      <c r="A145" s="10">
        <v>2009</v>
      </c>
      <c r="B145" s="10">
        <v>12</v>
      </c>
      <c r="C145" s="10">
        <v>265.13001651548899</v>
      </c>
    </row>
    <row r="146" spans="1:3" x14ac:dyDescent="0.25">
      <c r="A146" s="10">
        <v>2010</v>
      </c>
      <c r="B146" s="10">
        <v>1</v>
      </c>
      <c r="C146" s="10">
        <v>248.40508774164601</v>
      </c>
    </row>
    <row r="147" spans="1:3" x14ac:dyDescent="0.25">
      <c r="A147" s="10">
        <v>2010</v>
      </c>
      <c r="B147" s="10">
        <v>2</v>
      </c>
      <c r="C147" s="10">
        <v>230.17023514304799</v>
      </c>
    </row>
    <row r="148" spans="1:3" x14ac:dyDescent="0.25">
      <c r="A148" s="10">
        <v>2010</v>
      </c>
      <c r="B148" s="10">
        <v>3</v>
      </c>
      <c r="C148" s="10">
        <v>225.58471886909101</v>
      </c>
    </row>
    <row r="149" spans="1:3" x14ac:dyDescent="0.25">
      <c r="A149" s="10">
        <v>2010</v>
      </c>
      <c r="B149" s="10">
        <v>4</v>
      </c>
      <c r="C149" s="10">
        <v>218.477856768804</v>
      </c>
    </row>
    <row r="150" spans="1:3" x14ac:dyDescent="0.25">
      <c r="A150" s="10">
        <v>2010</v>
      </c>
      <c r="B150" s="10">
        <v>5</v>
      </c>
      <c r="C150" s="10">
        <v>220.15485342987</v>
      </c>
    </row>
    <row r="151" spans="1:3" x14ac:dyDescent="0.25">
      <c r="A151" s="10">
        <v>2010</v>
      </c>
      <c r="B151" s="10">
        <v>6</v>
      </c>
      <c r="C151" s="10">
        <v>211.156445293768</v>
      </c>
    </row>
    <row r="152" spans="1:3" x14ac:dyDescent="0.25">
      <c r="A152" s="10">
        <v>2010</v>
      </c>
      <c r="B152" s="10">
        <v>7</v>
      </c>
      <c r="C152" s="10">
        <v>215.319641636548</v>
      </c>
    </row>
    <row r="153" spans="1:3" x14ac:dyDescent="0.25">
      <c r="A153" s="10">
        <v>2010</v>
      </c>
      <c r="B153" s="10">
        <v>8</v>
      </c>
      <c r="C153" s="10">
        <v>227.800090926536</v>
      </c>
    </row>
    <row r="154" spans="1:3" x14ac:dyDescent="0.25">
      <c r="A154" s="10">
        <v>2010</v>
      </c>
      <c r="B154" s="10">
        <v>9</v>
      </c>
      <c r="C154" s="10">
        <v>210.56116784034299</v>
      </c>
    </row>
    <row r="155" spans="1:3" x14ac:dyDescent="0.25">
      <c r="A155" s="10">
        <v>2010</v>
      </c>
      <c r="B155" s="10">
        <v>10</v>
      </c>
      <c r="C155" s="10">
        <v>205.27167522290699</v>
      </c>
    </row>
    <row r="156" spans="1:3" x14ac:dyDescent="0.25">
      <c r="A156" s="10">
        <v>2010</v>
      </c>
      <c r="B156" s="10">
        <v>11</v>
      </c>
      <c r="C156" s="10">
        <v>209.23110181174599</v>
      </c>
    </row>
    <row r="157" spans="1:3" x14ac:dyDescent="0.25">
      <c r="A157" s="10">
        <v>2010</v>
      </c>
      <c r="B157" s="10">
        <v>12</v>
      </c>
      <c r="C157" s="10">
        <v>204.46463487854899</v>
      </c>
    </row>
    <row r="158" spans="1:3" x14ac:dyDescent="0.25">
      <c r="A158" s="10">
        <v>2011</v>
      </c>
      <c r="B158" s="10">
        <v>1</v>
      </c>
      <c r="C158" s="10">
        <v>210.94283367143399</v>
      </c>
    </row>
    <row r="159" spans="1:3" x14ac:dyDescent="0.25">
      <c r="A159" s="10">
        <v>2011</v>
      </c>
      <c r="B159" s="10">
        <v>2</v>
      </c>
      <c r="C159" s="10">
        <v>216.85543370120499</v>
      </c>
    </row>
    <row r="160" spans="1:3" x14ac:dyDescent="0.25">
      <c r="A160" s="10">
        <v>2011</v>
      </c>
      <c r="B160" s="10">
        <v>3</v>
      </c>
      <c r="C160" s="10">
        <v>211.27028256409599</v>
      </c>
    </row>
    <row r="161" spans="1:3" x14ac:dyDescent="0.25">
      <c r="A161" s="10">
        <v>2011</v>
      </c>
      <c r="B161" s="10">
        <v>4</v>
      </c>
      <c r="C161" s="10">
        <v>207.70325212006699</v>
      </c>
    </row>
    <row r="162" spans="1:3" x14ac:dyDescent="0.25">
      <c r="A162" s="10">
        <v>2011</v>
      </c>
      <c r="B162" s="10">
        <v>5</v>
      </c>
      <c r="C162" s="10">
        <v>208.77725381571901</v>
      </c>
    </row>
    <row r="163" spans="1:3" x14ac:dyDescent="0.25">
      <c r="A163" s="10">
        <v>2011</v>
      </c>
      <c r="B163" s="10">
        <v>6</v>
      </c>
      <c r="C163" s="10">
        <v>204.18591445889001</v>
      </c>
    </row>
    <row r="164" spans="1:3" x14ac:dyDescent="0.25">
      <c r="A164" s="10">
        <v>2011</v>
      </c>
      <c r="B164" s="10">
        <v>7</v>
      </c>
      <c r="C164" s="10">
        <v>202.573320815427</v>
      </c>
    </row>
    <row r="165" spans="1:3" x14ac:dyDescent="0.25">
      <c r="A165" s="10">
        <v>2011</v>
      </c>
      <c r="B165" s="10">
        <v>8</v>
      </c>
      <c r="C165" s="10">
        <v>205.04253446074301</v>
      </c>
    </row>
    <row r="166" spans="1:3" x14ac:dyDescent="0.25">
      <c r="A166" s="10">
        <v>2011</v>
      </c>
      <c r="B166" s="10">
        <v>9</v>
      </c>
      <c r="C166" s="10">
        <v>206.40742806183999</v>
      </c>
    </row>
    <row r="167" spans="1:3" x14ac:dyDescent="0.25">
      <c r="A167" s="10">
        <v>2011</v>
      </c>
      <c r="B167" s="10">
        <v>10</v>
      </c>
      <c r="C167" s="10">
        <v>210.738589913319</v>
      </c>
    </row>
    <row r="168" spans="1:3" x14ac:dyDescent="0.25">
      <c r="A168" s="10">
        <v>2011</v>
      </c>
      <c r="B168" s="10">
        <v>11</v>
      </c>
      <c r="C168" s="10">
        <v>205.456092427486</v>
      </c>
    </row>
    <row r="169" spans="1:3" x14ac:dyDescent="0.25">
      <c r="A169" s="10">
        <v>2011</v>
      </c>
      <c r="B169" s="10">
        <v>12</v>
      </c>
      <c r="C169" s="10">
        <v>216.78830420674001</v>
      </c>
    </row>
    <row r="170" spans="1:3" x14ac:dyDescent="0.25">
      <c r="A170" s="10">
        <v>2012</v>
      </c>
      <c r="B170" s="10">
        <v>1</v>
      </c>
      <c r="C170" s="10">
        <v>216.066929749194</v>
      </c>
    </row>
    <row r="171" spans="1:3" x14ac:dyDescent="0.25">
      <c r="A171" s="10">
        <v>2012</v>
      </c>
      <c r="B171" s="10">
        <v>2</v>
      </c>
      <c r="C171" s="10">
        <v>217.27392985261801</v>
      </c>
    </row>
    <row r="172" spans="1:3" x14ac:dyDescent="0.25">
      <c r="A172" s="10">
        <v>2012</v>
      </c>
      <c r="B172" s="10">
        <v>3</v>
      </c>
      <c r="C172" s="10">
        <v>218.24098221028899</v>
      </c>
    </row>
    <row r="173" spans="1:3" x14ac:dyDescent="0.25">
      <c r="A173" s="10">
        <v>2012</v>
      </c>
      <c r="B173" s="10">
        <v>4</v>
      </c>
      <c r="C173" s="10">
        <v>211.82738040874099</v>
      </c>
    </row>
    <row r="174" spans="1:3" x14ac:dyDescent="0.25">
      <c r="A174" s="10">
        <v>2012</v>
      </c>
      <c r="B174" s="10">
        <v>5</v>
      </c>
      <c r="C174" s="10">
        <v>217.53337676595399</v>
      </c>
    </row>
    <row r="175" spans="1:3" x14ac:dyDescent="0.25">
      <c r="A175" s="10">
        <v>2012</v>
      </c>
      <c r="B175" s="10">
        <v>6</v>
      </c>
      <c r="C175" s="10">
        <v>208.60479466995099</v>
      </c>
    </row>
    <row r="176" spans="1:3" x14ac:dyDescent="0.25">
      <c r="A176" s="10">
        <v>2012</v>
      </c>
      <c r="B176" s="10">
        <v>7</v>
      </c>
      <c r="C176" s="10">
        <v>216.76810807352101</v>
      </c>
    </row>
    <row r="177" spans="1:3" x14ac:dyDescent="0.25">
      <c r="A177" s="10">
        <v>2012</v>
      </c>
      <c r="B177" s="10">
        <v>8</v>
      </c>
      <c r="C177" s="10">
        <v>205.37514457111001</v>
      </c>
    </row>
    <row r="178" spans="1:3" x14ac:dyDescent="0.25">
      <c r="A178" s="10">
        <v>2012</v>
      </c>
      <c r="B178" s="10">
        <v>9</v>
      </c>
      <c r="C178" s="10">
        <v>218.09259172928</v>
      </c>
    </row>
    <row r="179" spans="1:3" x14ac:dyDescent="0.25">
      <c r="A179" s="10">
        <v>2012</v>
      </c>
      <c r="B179" s="10">
        <v>10</v>
      </c>
      <c r="C179" s="10">
        <v>219.71585360010599</v>
      </c>
    </row>
    <row r="180" spans="1:3" x14ac:dyDescent="0.25">
      <c r="A180" s="10">
        <v>2012</v>
      </c>
      <c r="B180" s="10">
        <v>11</v>
      </c>
      <c r="C180" s="10">
        <v>224.40333072294001</v>
      </c>
    </row>
    <row r="181" spans="1:3" x14ac:dyDescent="0.25">
      <c r="A181" s="10">
        <v>2012</v>
      </c>
      <c r="B181" s="10">
        <v>12</v>
      </c>
      <c r="C181" s="10">
        <v>225.440960514214</v>
      </c>
    </row>
    <row r="182" spans="1:3" x14ac:dyDescent="0.25">
      <c r="A182" s="10">
        <v>2013</v>
      </c>
      <c r="B182" s="10">
        <v>1</v>
      </c>
      <c r="C182" s="10">
        <v>231.359293730666</v>
      </c>
    </row>
    <row r="183" spans="1:3" x14ac:dyDescent="0.25">
      <c r="A183" s="10">
        <v>2013</v>
      </c>
      <c r="B183" s="10">
        <v>2</v>
      </c>
      <c r="C183" s="10">
        <v>236.686760697511</v>
      </c>
    </row>
    <row r="184" spans="1:3" x14ac:dyDescent="0.25">
      <c r="A184" s="10">
        <v>2013</v>
      </c>
      <c r="B184" s="10">
        <v>3</v>
      </c>
      <c r="C184" s="10">
        <v>232.07065688429</v>
      </c>
    </row>
    <row r="185" spans="1:3" x14ac:dyDescent="0.25">
      <c r="A185" s="10">
        <v>2013</v>
      </c>
      <c r="B185" s="10">
        <v>4</v>
      </c>
      <c r="C185" s="10">
        <v>237.040586377658</v>
      </c>
    </row>
    <row r="186" spans="1:3" x14ac:dyDescent="0.25">
      <c r="A186" s="10">
        <v>2013</v>
      </c>
      <c r="B186" s="10">
        <v>5</v>
      </c>
      <c r="C186" s="10">
        <v>230.742458700133</v>
      </c>
    </row>
    <row r="187" spans="1:3" x14ac:dyDescent="0.25">
      <c r="A187" s="10">
        <v>2013</v>
      </c>
      <c r="B187" s="10">
        <v>6</v>
      </c>
      <c r="C187" s="10">
        <v>238.67873510579801</v>
      </c>
    </row>
    <row r="188" spans="1:3" x14ac:dyDescent="0.25">
      <c r="A188" s="10">
        <v>2013</v>
      </c>
      <c r="B188" s="10">
        <v>7</v>
      </c>
      <c r="C188" s="10">
        <v>239.82545853962</v>
      </c>
    </row>
    <row r="189" spans="1:3" x14ac:dyDescent="0.25">
      <c r="A189" s="10">
        <v>2013</v>
      </c>
      <c r="B189" s="10">
        <v>8</v>
      </c>
      <c r="C189" s="10">
        <v>234.39013129208001</v>
      </c>
    </row>
    <row r="190" spans="1:3" x14ac:dyDescent="0.25">
      <c r="A190" s="10">
        <v>2013</v>
      </c>
      <c r="B190" s="10">
        <v>9</v>
      </c>
      <c r="C190" s="10">
        <v>237.38644787238201</v>
      </c>
    </row>
    <row r="191" spans="1:3" x14ac:dyDescent="0.25">
      <c r="A191" s="10">
        <v>2013</v>
      </c>
      <c r="B191" s="10">
        <v>10</v>
      </c>
      <c r="C191" s="10">
        <v>240.32473322014599</v>
      </c>
    </row>
    <row r="192" spans="1:3" x14ac:dyDescent="0.25">
      <c r="A192" s="10">
        <v>2013</v>
      </c>
      <c r="B192" s="10">
        <v>11</v>
      </c>
      <c r="C192" s="10">
        <v>230.64459108331101</v>
      </c>
    </row>
    <row r="193" spans="1:3" x14ac:dyDescent="0.25">
      <c r="A193" s="10">
        <v>2013</v>
      </c>
      <c r="B193" s="10">
        <v>12</v>
      </c>
      <c r="C193" s="10">
        <v>231.932283396103</v>
      </c>
    </row>
    <row r="194" spans="1:3" x14ac:dyDescent="0.25">
      <c r="A194" s="10">
        <v>2014</v>
      </c>
      <c r="B194" s="10">
        <v>1</v>
      </c>
      <c r="C194" s="10">
        <v>221.244351635501</v>
      </c>
    </row>
    <row r="195" spans="1:3" x14ac:dyDescent="0.25">
      <c r="A195" s="10">
        <v>2014</v>
      </c>
      <c r="B195" s="10">
        <v>2</v>
      </c>
      <c r="C195" s="10">
        <v>221.823461166013</v>
      </c>
    </row>
    <row r="196" spans="1:3" x14ac:dyDescent="0.25">
      <c r="A196" s="10">
        <v>2014</v>
      </c>
      <c r="B196" s="10">
        <v>3</v>
      </c>
      <c r="C196" s="10">
        <v>222.62386261811301</v>
      </c>
    </row>
    <row r="197" spans="1:3" x14ac:dyDescent="0.25">
      <c r="A197" s="10">
        <v>2014</v>
      </c>
      <c r="B197" s="10">
        <v>4</v>
      </c>
      <c r="C197" s="10">
        <v>225.44347483179899</v>
      </c>
    </row>
    <row r="198" spans="1:3" x14ac:dyDescent="0.25">
      <c r="A198" s="10">
        <v>2014</v>
      </c>
      <c r="B198" s="10">
        <v>5</v>
      </c>
      <c r="C198" s="10">
        <v>222.4200260643</v>
      </c>
    </row>
    <row r="199" spans="1:3" x14ac:dyDescent="0.25">
      <c r="A199" s="10">
        <v>2014</v>
      </c>
      <c r="B199" s="10">
        <v>6</v>
      </c>
      <c r="C199" s="10">
        <v>231.046627803452</v>
      </c>
    </row>
    <row r="200" spans="1:3" x14ac:dyDescent="0.25">
      <c r="A200" s="10">
        <v>2014</v>
      </c>
      <c r="B200" s="10">
        <v>7</v>
      </c>
      <c r="C200" s="10">
        <v>218.793488144392</v>
      </c>
    </row>
    <row r="201" spans="1:3" x14ac:dyDescent="0.25">
      <c r="A201" s="10">
        <v>2014</v>
      </c>
      <c r="B201" s="10">
        <v>8</v>
      </c>
      <c r="C201" s="10">
        <v>219.098133490561</v>
      </c>
    </row>
    <row r="202" spans="1:3" x14ac:dyDescent="0.25">
      <c r="A202" s="10">
        <v>2014</v>
      </c>
      <c r="B202" s="10">
        <v>9</v>
      </c>
      <c r="C202" s="10">
        <v>221.335065160185</v>
      </c>
    </row>
    <row r="203" spans="1:3" x14ac:dyDescent="0.25">
      <c r="A203" s="10">
        <v>2014</v>
      </c>
      <c r="B203" s="10">
        <v>10</v>
      </c>
      <c r="C203" s="10">
        <v>216.74975808674799</v>
      </c>
    </row>
    <row r="204" spans="1:3" x14ac:dyDescent="0.25">
      <c r="A204" s="10">
        <v>2014</v>
      </c>
      <c r="B204" s="10">
        <v>11</v>
      </c>
      <c r="C204" s="10">
        <v>237.89232999676699</v>
      </c>
    </row>
    <row r="205" spans="1:3" x14ac:dyDescent="0.25">
      <c r="A205" s="10">
        <v>2014</v>
      </c>
      <c r="B205" s="10">
        <v>12</v>
      </c>
      <c r="C205" s="10">
        <v>213.14612048469399</v>
      </c>
    </row>
    <row r="206" spans="1:3" x14ac:dyDescent="0.25">
      <c r="A206" s="10">
        <v>2015</v>
      </c>
      <c r="B206" s="10">
        <v>1</v>
      </c>
      <c r="C206" s="10">
        <v>229.09347044035999</v>
      </c>
    </row>
    <row r="207" spans="1:3" x14ac:dyDescent="0.25">
      <c r="A207" s="10">
        <v>2015</v>
      </c>
      <c r="B207" s="10">
        <v>2</v>
      </c>
      <c r="C207" s="10">
        <v>230.58698046386999</v>
      </c>
    </row>
    <row r="208" spans="1:3" x14ac:dyDescent="0.25">
      <c r="A208" s="10">
        <v>2015</v>
      </c>
      <c r="B208" s="10">
        <v>3</v>
      </c>
      <c r="C208" s="10">
        <v>233.11234914208501</v>
      </c>
    </row>
    <row r="209" spans="1:3" x14ac:dyDescent="0.25">
      <c r="A209" s="10">
        <v>2015</v>
      </c>
      <c r="B209" s="10">
        <v>4</v>
      </c>
      <c r="C209" s="10">
        <v>234.76828283658801</v>
      </c>
    </row>
    <row r="210" spans="1:3" x14ac:dyDescent="0.25">
      <c r="A210" s="10">
        <v>2015</v>
      </c>
      <c r="B210" s="10">
        <v>5</v>
      </c>
      <c r="C210" s="10">
        <v>235.80005693950201</v>
      </c>
    </row>
    <row r="211" spans="1:3" x14ac:dyDescent="0.25">
      <c r="A211" s="10">
        <v>2015</v>
      </c>
      <c r="B211" s="10">
        <v>6</v>
      </c>
      <c r="C211" s="10">
        <v>238.426237609201</v>
      </c>
    </row>
    <row r="212" spans="1:3" x14ac:dyDescent="0.25">
      <c r="A212" s="10">
        <v>2015</v>
      </c>
      <c r="B212" s="10">
        <v>7</v>
      </c>
      <c r="C212" s="10">
        <v>217.574449638533</v>
      </c>
    </row>
    <row r="213" spans="1:3" x14ac:dyDescent="0.25">
      <c r="A213" s="10">
        <v>2015</v>
      </c>
      <c r="B213" s="10">
        <v>8</v>
      </c>
      <c r="C213" s="10">
        <v>229.05224518877699</v>
      </c>
    </row>
    <row r="214" spans="1:3" x14ac:dyDescent="0.25">
      <c r="A214" s="10">
        <v>2015</v>
      </c>
      <c r="B214" s="10">
        <v>9</v>
      </c>
      <c r="C214" s="10">
        <v>233.169187995519</v>
      </c>
    </row>
    <row r="215" spans="1:3" x14ac:dyDescent="0.25">
      <c r="A215" s="10">
        <v>2015</v>
      </c>
      <c r="B215" s="10">
        <v>10</v>
      </c>
      <c r="C215" s="10">
        <v>220.56062475839701</v>
      </c>
    </row>
    <row r="216" spans="1:3" x14ac:dyDescent="0.25">
      <c r="A216" s="10">
        <v>2015</v>
      </c>
      <c r="B216" s="10">
        <v>11</v>
      </c>
      <c r="C216" s="10">
        <v>220.01399384595399</v>
      </c>
    </row>
    <row r="217" spans="1:3" x14ac:dyDescent="0.25">
      <c r="A217" s="10">
        <v>2015</v>
      </c>
      <c r="B217" s="10">
        <v>12</v>
      </c>
      <c r="C217" s="10">
        <v>201.12824190752801</v>
      </c>
    </row>
    <row r="218" spans="1:3" x14ac:dyDescent="0.25">
      <c r="A218" s="10">
        <v>2016</v>
      </c>
      <c r="B218" s="10">
        <v>1</v>
      </c>
      <c r="C218" s="10">
        <v>223.89582943774801</v>
      </c>
    </row>
    <row r="219" spans="1:3" x14ac:dyDescent="0.25">
      <c r="A219" s="10">
        <v>2016</v>
      </c>
      <c r="B219" s="10">
        <v>2</v>
      </c>
      <c r="C219" s="10">
        <v>222.160429741115</v>
      </c>
    </row>
    <row r="220" spans="1:3" x14ac:dyDescent="0.25">
      <c r="A220" s="10">
        <v>2016</v>
      </c>
      <c r="B220" s="10">
        <v>3</v>
      </c>
      <c r="C220" s="10">
        <v>219.52081980563801</v>
      </c>
    </row>
    <row r="221" spans="1:3" x14ac:dyDescent="0.25">
      <c r="A221" s="10">
        <v>2016</v>
      </c>
      <c r="B221" s="10">
        <v>4</v>
      </c>
      <c r="C221" s="10">
        <v>214.352717774095</v>
      </c>
    </row>
    <row r="222" spans="1:3" x14ac:dyDescent="0.25">
      <c r="A222" s="10">
        <v>2016</v>
      </c>
      <c r="B222" s="10">
        <v>5</v>
      </c>
      <c r="C222" s="10">
        <v>223.86026418591501</v>
      </c>
    </row>
    <row r="223" spans="1:3" x14ac:dyDescent="0.25">
      <c r="A223" s="10">
        <v>2016</v>
      </c>
      <c r="B223" s="10">
        <v>6</v>
      </c>
      <c r="C223" s="10">
        <v>210.14544635670501</v>
      </c>
    </row>
    <row r="224" spans="1:3" x14ac:dyDescent="0.25">
      <c r="A224" s="10">
        <v>2016</v>
      </c>
      <c r="B224" s="10">
        <v>7</v>
      </c>
      <c r="C224" s="10">
        <v>212.56190120005201</v>
      </c>
    </row>
    <row r="225" spans="1:3" x14ac:dyDescent="0.25">
      <c r="A225" s="10">
        <v>2016</v>
      </c>
      <c r="B225" s="10">
        <v>8</v>
      </c>
      <c r="C225" s="10">
        <v>220.97045862356001</v>
      </c>
    </row>
    <row r="226" spans="1:3" x14ac:dyDescent="0.25">
      <c r="A226" s="10">
        <v>2016</v>
      </c>
      <c r="B226" s="10">
        <v>9</v>
      </c>
      <c r="C226" s="10">
        <v>215.35948274128901</v>
      </c>
    </row>
    <row r="227" spans="1:3" x14ac:dyDescent="0.25">
      <c r="A227" s="10">
        <v>2016</v>
      </c>
      <c r="B227" s="10">
        <v>10</v>
      </c>
      <c r="C227" s="10">
        <v>220.042323843585</v>
      </c>
    </row>
    <row r="228" spans="1:3" x14ac:dyDescent="0.25">
      <c r="A228" s="10">
        <v>2016</v>
      </c>
      <c r="B228" s="10">
        <v>11</v>
      </c>
      <c r="C228" s="10">
        <v>228.13665798049701</v>
      </c>
    </row>
    <row r="229" spans="1:3" x14ac:dyDescent="0.25">
      <c r="A229" s="10">
        <v>2016</v>
      </c>
      <c r="B229" s="10">
        <v>12</v>
      </c>
      <c r="C229" s="10">
        <v>231.67414790136999</v>
      </c>
    </row>
    <row r="230" spans="1:3" x14ac:dyDescent="0.25">
      <c r="A230" s="10">
        <v>2017</v>
      </c>
      <c r="B230" s="10">
        <v>1</v>
      </c>
      <c r="C230" s="10">
        <v>235.04588434119</v>
      </c>
    </row>
    <row r="231" spans="1:3" x14ac:dyDescent="0.25">
      <c r="A231" s="10">
        <v>2017</v>
      </c>
      <c r="B231" s="10">
        <v>2</v>
      </c>
      <c r="C231" s="10">
        <v>222.743224843679</v>
      </c>
    </row>
    <row r="232" spans="1:3" x14ac:dyDescent="0.25">
      <c r="A232" s="10">
        <v>2017</v>
      </c>
      <c r="B232" s="10">
        <v>3</v>
      </c>
      <c r="C232" s="10">
        <v>236.59083800176501</v>
      </c>
    </row>
    <row r="233" spans="1:3" x14ac:dyDescent="0.25">
      <c r="A233" s="10">
        <v>2017</v>
      </c>
      <c r="B233" s="10">
        <v>4</v>
      </c>
      <c r="C233" s="10">
        <v>232.966125202732</v>
      </c>
    </row>
    <row r="234" spans="1:3" x14ac:dyDescent="0.25">
      <c r="A234" s="10">
        <v>2017</v>
      </c>
      <c r="B234" s="10">
        <v>5</v>
      </c>
      <c r="C234" s="10">
        <v>232.96662696110101</v>
      </c>
    </row>
    <row r="235" spans="1:3" x14ac:dyDescent="0.25">
      <c r="A235" s="10">
        <v>2017</v>
      </c>
      <c r="B235" s="10">
        <v>6</v>
      </c>
      <c r="C235" s="10">
        <v>234.97694536764601</v>
      </c>
    </row>
    <row r="236" spans="1:3" x14ac:dyDescent="0.25">
      <c r="A236" s="10">
        <v>2017</v>
      </c>
      <c r="B236" s="10">
        <v>7</v>
      </c>
      <c r="C236" s="10">
        <v>236.53730207499299</v>
      </c>
    </row>
    <row r="237" spans="1:3" x14ac:dyDescent="0.25">
      <c r="A237" s="10">
        <v>2017</v>
      </c>
      <c r="B237" s="10">
        <v>8</v>
      </c>
      <c r="C237" s="10">
        <v>233.73338190895399</v>
      </c>
    </row>
    <row r="238" spans="1:3" x14ac:dyDescent="0.25">
      <c r="A238" s="10">
        <v>2017</v>
      </c>
      <c r="B238" s="10">
        <v>9</v>
      </c>
      <c r="C238" s="10">
        <v>239.552670100461</v>
      </c>
    </row>
    <row r="239" spans="1:3" x14ac:dyDescent="0.25">
      <c r="A239" s="10">
        <v>2017</v>
      </c>
      <c r="B239" s="10">
        <v>10</v>
      </c>
      <c r="C239" s="10">
        <v>244.621682377078</v>
      </c>
    </row>
    <row r="240" spans="1:3" x14ac:dyDescent="0.25">
      <c r="A240" s="10">
        <v>2017</v>
      </c>
      <c r="B240" s="10">
        <v>11</v>
      </c>
      <c r="C240" s="10">
        <v>248.57684470564601</v>
      </c>
    </row>
    <row r="241" spans="1:3" x14ac:dyDescent="0.25">
      <c r="A241" s="10">
        <v>2017</v>
      </c>
      <c r="B241" s="10">
        <v>12</v>
      </c>
      <c r="C241" s="10">
        <v>248.80648398039901</v>
      </c>
    </row>
    <row r="242" spans="1:3" x14ac:dyDescent="0.25">
      <c r="A242" s="10">
        <v>2018</v>
      </c>
      <c r="B242" s="10">
        <v>1</v>
      </c>
      <c r="C242" s="10">
        <v>251.978761296866</v>
      </c>
    </row>
    <row r="243" spans="1:3" x14ac:dyDescent="0.25">
      <c r="A243" s="10">
        <v>2018</v>
      </c>
      <c r="B243" s="10">
        <v>2</v>
      </c>
      <c r="C243" s="10">
        <v>255.30685065365199</v>
      </c>
    </row>
    <row r="244" spans="1:3" x14ac:dyDescent="0.25">
      <c r="A244" s="10">
        <v>2018</v>
      </c>
      <c r="B244" s="10">
        <v>3</v>
      </c>
      <c r="C244" s="10">
        <v>260.91253018003999</v>
      </c>
    </row>
    <row r="245" spans="1:3" x14ac:dyDescent="0.25">
      <c r="A245" s="10">
        <v>2018</v>
      </c>
      <c r="B245" s="10">
        <v>4</v>
      </c>
      <c r="C245" s="10">
        <v>259.647590312261</v>
      </c>
    </row>
    <row r="246" spans="1:3" x14ac:dyDescent="0.25">
      <c r="A246" s="10">
        <v>2018</v>
      </c>
      <c r="B246" s="10">
        <v>5</v>
      </c>
      <c r="C246" s="10">
        <v>252.343177393357</v>
      </c>
    </row>
    <row r="247" spans="1:3" x14ac:dyDescent="0.25">
      <c r="A247" s="10">
        <v>2018</v>
      </c>
      <c r="B247" s="10">
        <v>6</v>
      </c>
      <c r="C247" s="10">
        <v>258.87272001678599</v>
      </c>
    </row>
    <row r="248" spans="1:3" x14ac:dyDescent="0.25">
      <c r="A248" s="10">
        <v>2018</v>
      </c>
      <c r="B248" s="10">
        <v>7</v>
      </c>
      <c r="C248" s="10">
        <v>256.14304978522398</v>
      </c>
    </row>
    <row r="249" spans="1:3" x14ac:dyDescent="0.25">
      <c r="A249" s="10">
        <v>2018</v>
      </c>
      <c r="B249" s="10">
        <v>8</v>
      </c>
      <c r="C249" s="10">
        <v>259.05106451969101</v>
      </c>
    </row>
    <row r="250" spans="1:3" x14ac:dyDescent="0.25">
      <c r="A250" s="10">
        <v>2018</v>
      </c>
      <c r="B250" s="10">
        <v>9</v>
      </c>
      <c r="C250" s="10">
        <v>246.99455478547301</v>
      </c>
    </row>
    <row r="251" spans="1:3" x14ac:dyDescent="0.25">
      <c r="A251" s="10">
        <v>2018</v>
      </c>
      <c r="B251" s="10">
        <v>10</v>
      </c>
      <c r="C251" s="10">
        <v>256.28690941544397</v>
      </c>
    </row>
    <row r="252" spans="1:3" x14ac:dyDescent="0.25">
      <c r="A252" s="10">
        <v>2018</v>
      </c>
      <c r="B252" s="10">
        <v>11</v>
      </c>
      <c r="C252" s="10">
        <v>250.00917512351401</v>
      </c>
    </row>
    <row r="253" spans="1:3" x14ac:dyDescent="0.25">
      <c r="A253" s="10">
        <v>2018</v>
      </c>
      <c r="B253" s="10">
        <v>12</v>
      </c>
      <c r="C253" s="10">
        <v>252.56116063840801</v>
      </c>
    </row>
    <row r="254" spans="1:3" x14ac:dyDescent="0.25">
      <c r="A254" s="10">
        <v>2019</v>
      </c>
      <c r="B254" s="10">
        <v>1</v>
      </c>
      <c r="C254" s="10">
        <v>255.795171800009</v>
      </c>
    </row>
    <row r="255" spans="1:3" x14ac:dyDescent="0.25">
      <c r="A255" s="10">
        <v>2019</v>
      </c>
      <c r="B255" s="10">
        <v>2</v>
      </c>
      <c r="C255" s="10">
        <v>250.92776904064701</v>
      </c>
    </row>
    <row r="256" spans="1:3" x14ac:dyDescent="0.25">
      <c r="A256" s="10">
        <v>2019</v>
      </c>
      <c r="B256" s="10">
        <v>3</v>
      </c>
      <c r="C256" s="10">
        <v>235.41557432292299</v>
      </c>
    </row>
    <row r="257" spans="1:3" x14ac:dyDescent="0.25">
      <c r="A257" s="10">
        <v>2019</v>
      </c>
      <c r="B257" s="10">
        <v>4</v>
      </c>
      <c r="C257" s="10">
        <v>247.15063538149499</v>
      </c>
    </row>
    <row r="258" spans="1:3" x14ac:dyDescent="0.25">
      <c r="A258" s="10">
        <v>2019</v>
      </c>
      <c r="B258" s="10">
        <v>5</v>
      </c>
      <c r="C258" s="10">
        <v>255.36721287686001</v>
      </c>
    </row>
    <row r="259" spans="1:3" x14ac:dyDescent="0.25">
      <c r="A259" s="10">
        <v>2019</v>
      </c>
      <c r="B259" s="10">
        <v>6</v>
      </c>
      <c r="C259" s="10">
        <v>255.99993664919199</v>
      </c>
    </row>
    <row r="260" spans="1:3" x14ac:dyDescent="0.25">
      <c r="A260" s="10">
        <v>2019</v>
      </c>
      <c r="B260" s="10">
        <v>7</v>
      </c>
      <c r="C260" s="10">
        <v>271.64511958359901</v>
      </c>
    </row>
    <row r="261" spans="1:3" x14ac:dyDescent="0.25">
      <c r="A261" s="10">
        <v>2019</v>
      </c>
      <c r="B261" s="10">
        <v>8</v>
      </c>
      <c r="C261" s="10">
        <v>262.25524546309299</v>
      </c>
    </row>
    <row r="262" spans="1:3" x14ac:dyDescent="0.25">
      <c r="A262" s="10">
        <v>2019</v>
      </c>
      <c r="B262" s="10">
        <v>9</v>
      </c>
      <c r="C262" s="10">
        <v>275.22350650640198</v>
      </c>
    </row>
    <row r="263" spans="1:3" x14ac:dyDescent="0.25">
      <c r="A263" s="10">
        <v>2019</v>
      </c>
      <c r="B263" s="10">
        <v>10</v>
      </c>
      <c r="C263" s="10">
        <v>274.08051950612401</v>
      </c>
    </row>
    <row r="264" spans="1:3" x14ac:dyDescent="0.25">
      <c r="A264" s="10">
        <v>2019</v>
      </c>
      <c r="B264" s="10">
        <v>11</v>
      </c>
      <c r="C264" s="10">
        <v>273.18285073875899</v>
      </c>
    </row>
    <row r="265" spans="1:3" x14ac:dyDescent="0.25">
      <c r="A265" s="10">
        <v>2019</v>
      </c>
      <c r="B265" s="10">
        <v>12</v>
      </c>
      <c r="C265" s="10">
        <v>273.85432982523901</v>
      </c>
    </row>
    <row r="266" spans="1:3" x14ac:dyDescent="0.25">
      <c r="A266" s="10">
        <v>2020</v>
      </c>
      <c r="B266" s="10">
        <v>1</v>
      </c>
      <c r="C266" s="10">
        <v>261.59424322050802</v>
      </c>
    </row>
    <row r="267" spans="1:3" x14ac:dyDescent="0.25">
      <c r="A267" s="10">
        <v>2020</v>
      </c>
      <c r="B267" s="10">
        <v>2</v>
      </c>
      <c r="C267" s="10">
        <v>257.06947671291499</v>
      </c>
    </row>
    <row r="268" spans="1:3" x14ac:dyDescent="0.25">
      <c r="A268" s="10">
        <v>2020</v>
      </c>
      <c r="B268" s="10">
        <v>3</v>
      </c>
      <c r="C268" s="10">
        <v>242.015613761819</v>
      </c>
    </row>
    <row r="269" spans="1:3" x14ac:dyDescent="0.25">
      <c r="A269" s="10">
        <v>2020</v>
      </c>
      <c r="B269" s="10">
        <v>4</v>
      </c>
      <c r="C269" s="10">
        <v>269.38685279945298</v>
      </c>
    </row>
    <row r="270" spans="1:3" x14ac:dyDescent="0.25">
      <c r="A270" s="10">
        <v>2020</v>
      </c>
      <c r="B270" s="10">
        <v>5</v>
      </c>
      <c r="C270" s="10">
        <v>266.68023536730999</v>
      </c>
    </row>
    <row r="271" spans="1:3" x14ac:dyDescent="0.25">
      <c r="A271" s="10">
        <v>2020</v>
      </c>
      <c r="B271" s="10">
        <v>6</v>
      </c>
      <c r="C271" s="10">
        <v>268.116522914158</v>
      </c>
    </row>
    <row r="272" spans="1:3" x14ac:dyDescent="0.25">
      <c r="A272" s="10">
        <v>2020</v>
      </c>
      <c r="B272" s="10">
        <v>7</v>
      </c>
      <c r="C272" s="10">
        <v>261.377649417751</v>
      </c>
    </row>
    <row r="273" spans="1:3" x14ac:dyDescent="0.25">
      <c r="A273" s="10">
        <v>2020</v>
      </c>
      <c r="B273" s="10">
        <v>8</v>
      </c>
      <c r="C273" s="10">
        <v>263.904595577593</v>
      </c>
    </row>
    <row r="274" spans="1:3" x14ac:dyDescent="0.25">
      <c r="A274" s="10">
        <v>2020</v>
      </c>
      <c r="B274" s="10">
        <v>9</v>
      </c>
      <c r="C274" s="10">
        <v>268.69151498682101</v>
      </c>
    </row>
    <row r="275" spans="1:3" x14ac:dyDescent="0.25">
      <c r="A275" s="10">
        <v>2020</v>
      </c>
      <c r="B275" s="10">
        <v>10</v>
      </c>
      <c r="C275" s="10">
        <v>270.27129070783201</v>
      </c>
    </row>
    <row r="276" spans="1:3" x14ac:dyDescent="0.25">
      <c r="A276" s="10">
        <v>2020</v>
      </c>
      <c r="B276" s="10">
        <v>11</v>
      </c>
      <c r="C276" s="10">
        <v>280.56059607397498</v>
      </c>
    </row>
    <row r="277" spans="1:3" x14ac:dyDescent="0.25">
      <c r="A277" s="10">
        <v>2020</v>
      </c>
      <c r="B277" s="10">
        <v>12</v>
      </c>
      <c r="C277" s="10">
        <v>255.43529185798999</v>
      </c>
    </row>
    <row r="278" spans="1:3" x14ac:dyDescent="0.25">
      <c r="A278" s="10">
        <v>2021</v>
      </c>
      <c r="B278" s="10">
        <v>1</v>
      </c>
      <c r="C278" s="10">
        <v>249.98928316000399</v>
      </c>
    </row>
    <row r="279" spans="1:3" x14ac:dyDescent="0.25">
      <c r="A279" s="10">
        <v>2021</v>
      </c>
      <c r="B279" s="10">
        <v>2</v>
      </c>
      <c r="C279" s="10">
        <v>254.13878043458499</v>
      </c>
    </row>
    <row r="280" spans="1:3" x14ac:dyDescent="0.25">
      <c r="A280" s="10">
        <v>2021</v>
      </c>
      <c r="B280" s="10">
        <v>3</v>
      </c>
      <c r="C280" s="10">
        <v>257.21120818694902</v>
      </c>
    </row>
    <row r="281" spans="1:3" x14ac:dyDescent="0.25">
      <c r="A281" s="10">
        <v>2021</v>
      </c>
      <c r="B281" s="10">
        <v>4</v>
      </c>
      <c r="C281" s="10">
        <v>255.56185673546599</v>
      </c>
    </row>
    <row r="282" spans="1:3" x14ac:dyDescent="0.25">
      <c r="A282" s="10">
        <v>2021</v>
      </c>
      <c r="B282" s="10">
        <v>5</v>
      </c>
      <c r="C282" s="10">
        <v>229.37746662876299</v>
      </c>
    </row>
    <row r="283" spans="1:3" x14ac:dyDescent="0.25">
      <c r="A283" s="10">
        <v>2021</v>
      </c>
      <c r="B283" s="10">
        <v>6</v>
      </c>
      <c r="C283" s="10">
        <v>247.75713785727601</v>
      </c>
    </row>
    <row r="284" spans="1:3" x14ac:dyDescent="0.25">
      <c r="A284" s="10">
        <v>2021</v>
      </c>
      <c r="B284" s="10">
        <v>7</v>
      </c>
      <c r="C284" s="10">
        <v>242.49919552978901</v>
      </c>
    </row>
    <row r="285" spans="1:3" x14ac:dyDescent="0.25">
      <c r="A285" s="10">
        <v>2021</v>
      </c>
      <c r="B285" s="10">
        <v>8</v>
      </c>
      <c r="C285" s="10">
        <v>255.25399725315199</v>
      </c>
    </row>
    <row r="286" spans="1:3" x14ac:dyDescent="0.25">
      <c r="A286" s="10">
        <v>2021</v>
      </c>
      <c r="B286" s="10">
        <v>9</v>
      </c>
      <c r="C286" s="10">
        <v>244.57280119976599</v>
      </c>
    </row>
    <row r="287" spans="1:3" x14ac:dyDescent="0.25">
      <c r="A287" s="10">
        <v>2021</v>
      </c>
      <c r="B287" s="10">
        <v>10</v>
      </c>
      <c r="C287" s="10">
        <v>248.51255015003099</v>
      </c>
    </row>
    <row r="288" spans="1:3" x14ac:dyDescent="0.25">
      <c r="A288" s="10">
        <v>2021</v>
      </c>
      <c r="B288" s="10">
        <v>11</v>
      </c>
      <c r="C288" s="10">
        <v>248.13699496358299</v>
      </c>
    </row>
    <row r="289" spans="1:3" x14ac:dyDescent="0.25">
      <c r="A289" s="10">
        <v>2021</v>
      </c>
      <c r="B289" s="10">
        <v>12</v>
      </c>
      <c r="C289" s="10">
        <v>248.37831201261201</v>
      </c>
    </row>
    <row r="290" spans="1:3" x14ac:dyDescent="0.25">
      <c r="A290" s="10">
        <v>2022</v>
      </c>
      <c r="B290" s="10">
        <v>1</v>
      </c>
      <c r="C290" s="10">
        <v>244.41716784087001</v>
      </c>
    </row>
    <row r="291" spans="1:3" x14ac:dyDescent="0.25">
      <c r="A291" s="10">
        <v>2022</v>
      </c>
      <c r="B291" s="10">
        <v>2</v>
      </c>
      <c r="C291" s="10">
        <v>261.70076824455703</v>
      </c>
    </row>
    <row r="292" spans="1:3" x14ac:dyDescent="0.25">
      <c r="A292" s="10">
        <v>2022</v>
      </c>
      <c r="B292" s="10">
        <v>3</v>
      </c>
      <c r="C292" s="10">
        <v>255.505720551428</v>
      </c>
    </row>
    <row r="293" spans="1:3" x14ac:dyDescent="0.25">
      <c r="A293" s="10">
        <v>2022</v>
      </c>
      <c r="B293" s="10">
        <v>4</v>
      </c>
      <c r="C293" s="10">
        <v>259.49840183089998</v>
      </c>
    </row>
    <row r="294" spans="1:3" x14ac:dyDescent="0.25">
      <c r="A294" s="10">
        <v>2022</v>
      </c>
      <c r="B294" s="10">
        <v>5</v>
      </c>
      <c r="C294" s="10">
        <v>269.46318358782497</v>
      </c>
    </row>
    <row r="295" spans="1:3" x14ac:dyDescent="0.25">
      <c r="A295" s="10">
        <v>2022</v>
      </c>
      <c r="B295" s="10">
        <v>6</v>
      </c>
      <c r="C295" s="10">
        <v>260.582031604272</v>
      </c>
    </row>
    <row r="296" spans="1:3" x14ac:dyDescent="0.25">
      <c r="A296" s="10">
        <v>2022</v>
      </c>
      <c r="B296" s="10">
        <v>7</v>
      </c>
      <c r="C296" s="10">
        <v>259.63682175789302</v>
      </c>
    </row>
    <row r="297" spans="1:3" x14ac:dyDescent="0.25">
      <c r="A297" s="10">
        <v>2022</v>
      </c>
      <c r="B297" s="10">
        <v>8</v>
      </c>
      <c r="C297" s="10">
        <v>270.29817514082998</v>
      </c>
    </row>
    <row r="298" spans="1:3" x14ac:dyDescent="0.25">
      <c r="A298" s="10">
        <v>2022</v>
      </c>
      <c r="B298" s="10">
        <v>9</v>
      </c>
      <c r="C298" s="10">
        <v>268.55291616698901</v>
      </c>
    </row>
    <row r="299" spans="1:3" x14ac:dyDescent="0.25">
      <c r="A299" s="10">
        <v>2022</v>
      </c>
      <c r="B299" s="10">
        <v>10</v>
      </c>
      <c r="C299" s="10">
        <v>259.974712259726</v>
      </c>
    </row>
    <row r="300" spans="1:3" x14ac:dyDescent="0.25">
      <c r="A300" s="10">
        <v>2022</v>
      </c>
      <c r="B300" s="10">
        <v>11</v>
      </c>
      <c r="C300" s="10">
        <v>269.97550054981298</v>
      </c>
    </row>
    <row r="301" spans="1:3" x14ac:dyDescent="0.25">
      <c r="A301" s="10">
        <v>2022</v>
      </c>
      <c r="B301" s="10">
        <v>12</v>
      </c>
      <c r="C301" s="10">
        <v>279.06078589532598</v>
      </c>
    </row>
    <row r="302" spans="1:3" x14ac:dyDescent="0.25">
      <c r="A302" s="10">
        <v>2023</v>
      </c>
      <c r="B302" s="10">
        <v>1</v>
      </c>
      <c r="C302" s="10">
        <v>284.192626628803</v>
      </c>
    </row>
    <row r="303" spans="1:3" x14ac:dyDescent="0.25">
      <c r="A303" s="10">
        <v>2023</v>
      </c>
      <c r="B303" s="10">
        <v>2</v>
      </c>
      <c r="C303" s="10">
        <v>264.85252335336997</v>
      </c>
    </row>
    <row r="304" spans="1:3" x14ac:dyDescent="0.25">
      <c r="A304" s="10">
        <v>2023</v>
      </c>
      <c r="B304" s="10">
        <v>3</v>
      </c>
      <c r="C304" s="10">
        <v>287.51439148544</v>
      </c>
    </row>
    <row r="305" spans="1:3" x14ac:dyDescent="0.25">
      <c r="A305" s="10">
        <v>2023</v>
      </c>
      <c r="B305" s="10">
        <v>4</v>
      </c>
      <c r="C305" s="10">
        <v>289.791346274136</v>
      </c>
    </row>
    <row r="306" spans="1:3" x14ac:dyDescent="0.25">
      <c r="A306" s="10">
        <v>2023</v>
      </c>
      <c r="B306" s="10">
        <v>5</v>
      </c>
      <c r="C306" s="10">
        <v>280.78405494817201</v>
      </c>
    </row>
    <row r="307" spans="1:3" x14ac:dyDescent="0.25">
      <c r="A307" s="10">
        <v>2023</v>
      </c>
      <c r="B307" s="10">
        <v>6</v>
      </c>
      <c r="C307" s="10">
        <v>291.08756986831401</v>
      </c>
    </row>
    <row r="308" spans="1:3" x14ac:dyDescent="0.25">
      <c r="A308" s="10">
        <v>2023</v>
      </c>
      <c r="B308" s="10">
        <v>7</v>
      </c>
      <c r="C308" s="10">
        <v>286.72547919078102</v>
      </c>
    </row>
    <row r="309" spans="1:3" x14ac:dyDescent="0.25">
      <c r="A309" s="10">
        <v>2023</v>
      </c>
      <c r="B309" s="10">
        <v>8</v>
      </c>
      <c r="C309" s="10">
        <v>258.92099825147602</v>
      </c>
    </row>
    <row r="310" spans="1:3" x14ac:dyDescent="0.25">
      <c r="A310" s="10">
        <v>2023</v>
      </c>
      <c r="B310" s="10">
        <v>9</v>
      </c>
      <c r="C310" s="10">
        <v>264.318769583267</v>
      </c>
    </row>
    <row r="311" spans="1:3" x14ac:dyDescent="0.25">
      <c r="A311" s="10">
        <v>2023</v>
      </c>
      <c r="B311" s="10">
        <v>10</v>
      </c>
      <c r="C311" s="10">
        <v>255.09757027269899</v>
      </c>
    </row>
    <row r="312" spans="1:3" x14ac:dyDescent="0.25">
      <c r="A312" s="10">
        <v>2023</v>
      </c>
      <c r="B312" s="10">
        <v>11</v>
      </c>
      <c r="C312" s="10">
        <v>281.01957139093503</v>
      </c>
    </row>
    <row r="313" spans="1:3" x14ac:dyDescent="0.25">
      <c r="A313" s="10">
        <v>2023</v>
      </c>
      <c r="B313" s="10">
        <v>12</v>
      </c>
      <c r="C313" s="10">
        <v>250.98666886043901</v>
      </c>
    </row>
    <row r="314" spans="1:3" x14ac:dyDescent="0.25">
      <c r="A314" s="10">
        <v>2024</v>
      </c>
      <c r="B314" s="10">
        <v>1</v>
      </c>
      <c r="C314" s="10">
        <v>268.39555579507299</v>
      </c>
    </row>
    <row r="315" spans="1:3" x14ac:dyDescent="0.25">
      <c r="A315" s="10">
        <v>2024</v>
      </c>
      <c r="B315" s="10">
        <v>2</v>
      </c>
      <c r="C315" s="10">
        <v>260.80713425111497</v>
      </c>
    </row>
    <row r="316" spans="1:3" x14ac:dyDescent="0.25">
      <c r="A316" s="10">
        <v>2024</v>
      </c>
      <c r="B316" s="10">
        <v>3</v>
      </c>
      <c r="C316" s="10">
        <v>257.33220305499901</v>
      </c>
    </row>
    <row r="317" spans="1:3" x14ac:dyDescent="0.25">
      <c r="A317" s="10">
        <v>2024</v>
      </c>
      <c r="B317" s="10">
        <v>4</v>
      </c>
      <c r="C317" s="10">
        <v>246.21043933483699</v>
      </c>
    </row>
    <row r="318" spans="1:3" x14ac:dyDescent="0.25">
      <c r="A318" s="10">
        <v>2024</v>
      </c>
      <c r="B318" s="10">
        <v>5</v>
      </c>
      <c r="C318" s="10">
        <v>259.58396864127599</v>
      </c>
    </row>
    <row r="319" spans="1:3" x14ac:dyDescent="0.25">
      <c r="A319" s="10">
        <v>2024</v>
      </c>
      <c r="B319" s="10">
        <v>6</v>
      </c>
      <c r="C319" s="10">
        <v>242.83445488733599</v>
      </c>
    </row>
    <row r="320" spans="1:3" x14ac:dyDescent="0.25">
      <c r="A320" s="10">
        <v>2024</v>
      </c>
      <c r="B320" s="10">
        <v>7</v>
      </c>
      <c r="C320" s="10">
        <v>266.27393218895901</v>
      </c>
    </row>
    <row r="321" spans="1:3" x14ac:dyDescent="0.25">
      <c r="A321" s="10">
        <v>2024</v>
      </c>
      <c r="B321" s="10">
        <v>8</v>
      </c>
      <c r="C321" s="10">
        <v>267.99619654605101</v>
      </c>
    </row>
    <row r="322" spans="1:3" x14ac:dyDescent="0.25">
      <c r="A322" s="10">
        <v>2024</v>
      </c>
      <c r="B322" s="10">
        <v>9</v>
      </c>
      <c r="C322" s="10">
        <v>276.783515403671</v>
      </c>
    </row>
    <row r="323" spans="1:3" x14ac:dyDescent="0.25">
      <c r="A323" s="10">
        <v>2024</v>
      </c>
      <c r="B323" s="10">
        <v>10</v>
      </c>
      <c r="C323" s="10">
        <v>280.43367671815002</v>
      </c>
    </row>
    <row r="324" spans="1:3" x14ac:dyDescent="0.25">
      <c r="A324" s="10">
        <v>2024</v>
      </c>
      <c r="B324" s="10">
        <v>11</v>
      </c>
      <c r="C324" s="10">
        <v>267.79516270782898</v>
      </c>
    </row>
    <row r="325" spans="1:3" x14ac:dyDescent="0.25">
      <c r="A325" s="10">
        <v>2024</v>
      </c>
      <c r="B325" s="10">
        <v>12</v>
      </c>
      <c r="C325" s="10">
        <v>277.67770157259997</v>
      </c>
    </row>
    <row r="326" spans="1:3" x14ac:dyDescent="0.25">
      <c r="A326" s="10">
        <v>2025</v>
      </c>
      <c r="B326" s="10">
        <v>1</v>
      </c>
      <c r="C326" s="10">
        <v>263.42046759659797</v>
      </c>
    </row>
    <row r="327" spans="1:3" x14ac:dyDescent="0.25">
      <c r="A327" s="10">
        <v>2025</v>
      </c>
      <c r="B327" s="10">
        <v>2</v>
      </c>
      <c r="C327" s="10">
        <v>260.82237735902697</v>
      </c>
    </row>
    <row r="328" spans="1:3" x14ac:dyDescent="0.25">
      <c r="A328" s="10">
        <v>2025</v>
      </c>
      <c r="B328" s="10">
        <v>3</v>
      </c>
      <c r="C328" s="10">
        <v>245.96100047860401</v>
      </c>
    </row>
    <row r="329" spans="1:3" x14ac:dyDescent="0.25">
      <c r="A329" s="10">
        <v>2025</v>
      </c>
      <c r="B329" s="10">
        <v>4</v>
      </c>
      <c r="C329" s="10">
        <v>266.62375152253298</v>
      </c>
    </row>
    <row r="330" spans="1:3" x14ac:dyDescent="0.25">
      <c r="A330" s="10">
        <v>2025</v>
      </c>
      <c r="B330" s="10">
        <v>5</v>
      </c>
      <c r="C330" s="10">
        <v>260.19550859844702</v>
      </c>
    </row>
    <row r="331" spans="1:3" x14ac:dyDescent="0.25">
      <c r="A331" s="10">
        <v>2025</v>
      </c>
      <c r="B331" s="10">
        <v>6</v>
      </c>
      <c r="C331" s="10">
        <v>261.616562719353</v>
      </c>
    </row>
    <row r="332" spans="1:3" x14ac:dyDescent="0.25">
      <c r="A332" s="10">
        <v>2025</v>
      </c>
      <c r="B332" s="10">
        <v>7</v>
      </c>
      <c r="C332" s="10">
        <v>265.87752928167902</v>
      </c>
    </row>
    <row r="333" spans="1:3" x14ac:dyDescent="0.25">
      <c r="A333" s="10">
        <v>2025</v>
      </c>
      <c r="B333" s="10">
        <v>8</v>
      </c>
      <c r="C333" s="10">
        <v>267.86486725500799</v>
      </c>
    </row>
    <row r="334" spans="1:3" x14ac:dyDescent="0.25">
      <c r="A334" s="10">
        <v>2025</v>
      </c>
      <c r="B334" s="10">
        <v>9</v>
      </c>
      <c r="C334" s="10">
        <v>260.23850523415098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FE9A-E1D3-47B8-98F4-F4E5C705776B}">
  <dimension ref="A1:C326"/>
  <sheetViews>
    <sheetView topLeftCell="A310" workbookViewId="0">
      <selection activeCell="C326" sqref="C2:C326"/>
    </sheetView>
  </sheetViews>
  <sheetFormatPr baseColWidth="10" defaultRowHeight="15" x14ac:dyDescent="0.25"/>
  <cols>
    <col min="1" max="3" width="11.42578125" style="11"/>
  </cols>
  <sheetData>
    <row r="1" spans="1:3" ht="42.75" x14ac:dyDescent="0.25">
      <c r="A1" s="9" t="s">
        <v>30</v>
      </c>
      <c r="B1" s="9" t="s">
        <v>31</v>
      </c>
      <c r="C1" s="9" t="s">
        <v>32</v>
      </c>
    </row>
    <row r="2" spans="1:3" x14ac:dyDescent="0.25">
      <c r="A2" s="10">
        <v>1998</v>
      </c>
      <c r="B2" s="10">
        <v>1</v>
      </c>
      <c r="C2" s="10">
        <v>209.136810355948</v>
      </c>
    </row>
    <row r="3" spans="1:3" x14ac:dyDescent="0.25">
      <c r="A3" s="10">
        <v>1998</v>
      </c>
      <c r="B3" s="10">
        <v>2</v>
      </c>
      <c r="C3" s="10">
        <v>206.259580840247</v>
      </c>
    </row>
    <row r="4" spans="1:3" x14ac:dyDescent="0.25">
      <c r="A4" s="10">
        <v>1998</v>
      </c>
      <c r="B4" s="10">
        <v>3</v>
      </c>
      <c r="C4" s="10">
        <v>205.43767864843599</v>
      </c>
    </row>
    <row r="5" spans="1:3" x14ac:dyDescent="0.25">
      <c r="A5" s="10">
        <v>1998</v>
      </c>
      <c r="B5" s="10">
        <v>4</v>
      </c>
      <c r="C5" s="10">
        <v>208.24723344315299</v>
      </c>
    </row>
    <row r="6" spans="1:3" x14ac:dyDescent="0.25">
      <c r="A6" s="10">
        <v>1998</v>
      </c>
      <c r="B6" s="10">
        <v>5</v>
      </c>
      <c r="C6" s="10">
        <v>206.75626667366399</v>
      </c>
    </row>
    <row r="7" spans="1:3" x14ac:dyDescent="0.25">
      <c r="A7" s="10">
        <v>1998</v>
      </c>
      <c r="B7" s="10">
        <v>6</v>
      </c>
      <c r="C7" s="10">
        <v>198.862487658573</v>
      </c>
    </row>
    <row r="8" spans="1:3" x14ac:dyDescent="0.25">
      <c r="A8" s="10">
        <v>1998</v>
      </c>
      <c r="B8" s="10">
        <v>7</v>
      </c>
      <c r="C8" s="10">
        <v>186.63513611540199</v>
      </c>
    </row>
    <row r="9" spans="1:3" x14ac:dyDescent="0.25">
      <c r="A9" s="10">
        <v>1998</v>
      </c>
      <c r="B9" s="10">
        <v>8</v>
      </c>
      <c r="C9" s="10">
        <v>203.89237175138601</v>
      </c>
    </row>
    <row r="10" spans="1:3" x14ac:dyDescent="0.25">
      <c r="A10" s="10">
        <v>1998</v>
      </c>
      <c r="B10" s="10">
        <v>9</v>
      </c>
      <c r="C10" s="10">
        <v>201.98171963529299</v>
      </c>
    </row>
    <row r="11" spans="1:3" x14ac:dyDescent="0.25">
      <c r="A11" s="10">
        <v>1998</v>
      </c>
      <c r="B11" s="10">
        <v>10</v>
      </c>
      <c r="C11" s="10">
        <v>208.47034080332301</v>
      </c>
    </row>
    <row r="12" spans="1:3" x14ac:dyDescent="0.25">
      <c r="A12" s="10">
        <v>1998</v>
      </c>
      <c r="B12" s="10">
        <v>11</v>
      </c>
      <c r="C12" s="10">
        <v>213.59808513463199</v>
      </c>
    </row>
    <row r="13" spans="1:3" x14ac:dyDescent="0.25">
      <c r="A13" s="10">
        <v>1998</v>
      </c>
      <c r="B13" s="10">
        <v>12</v>
      </c>
      <c r="C13" s="10">
        <v>217.59220917510399</v>
      </c>
    </row>
    <row r="14" spans="1:3" x14ac:dyDescent="0.25">
      <c r="A14" s="10">
        <v>1999</v>
      </c>
      <c r="B14" s="10">
        <v>1</v>
      </c>
      <c r="C14" s="10">
        <v>217.96843447297601</v>
      </c>
    </row>
    <row r="15" spans="1:3" x14ac:dyDescent="0.25">
      <c r="A15" s="10">
        <v>1999</v>
      </c>
      <c r="B15" s="10">
        <v>2</v>
      </c>
      <c r="C15" s="10">
        <v>221.97864412639601</v>
      </c>
    </row>
    <row r="16" spans="1:3" x14ac:dyDescent="0.25">
      <c r="A16" s="10">
        <v>1999</v>
      </c>
      <c r="B16" s="10">
        <v>3</v>
      </c>
      <c r="C16" s="10">
        <v>223.53003444770499</v>
      </c>
    </row>
    <row r="17" spans="1:3" x14ac:dyDescent="0.25">
      <c r="A17" s="10">
        <v>1999</v>
      </c>
      <c r="B17" s="10">
        <v>4</v>
      </c>
      <c r="C17" s="10">
        <v>220.17136756145999</v>
      </c>
    </row>
    <row r="18" spans="1:3" x14ac:dyDescent="0.25">
      <c r="A18" s="10">
        <v>1999</v>
      </c>
      <c r="B18" s="10">
        <v>5</v>
      </c>
      <c r="C18" s="10">
        <v>236.603252242005</v>
      </c>
    </row>
    <row r="19" spans="1:3" x14ac:dyDescent="0.25">
      <c r="A19" s="10">
        <v>1999</v>
      </c>
      <c r="B19" s="10">
        <v>6</v>
      </c>
      <c r="C19" s="10">
        <v>219.675850112717</v>
      </c>
    </row>
    <row r="20" spans="1:3" x14ac:dyDescent="0.25">
      <c r="A20" s="10">
        <v>1999</v>
      </c>
      <c r="B20" s="10">
        <v>7</v>
      </c>
      <c r="C20" s="10">
        <v>216.67906974564201</v>
      </c>
    </row>
    <row r="21" spans="1:3" x14ac:dyDescent="0.25">
      <c r="A21" s="10">
        <v>1999</v>
      </c>
      <c r="B21" s="10">
        <v>8</v>
      </c>
      <c r="C21" s="10">
        <v>230.55720016795101</v>
      </c>
    </row>
    <row r="22" spans="1:3" x14ac:dyDescent="0.25">
      <c r="A22" s="10">
        <v>1999</v>
      </c>
      <c r="B22" s="10">
        <v>9</v>
      </c>
      <c r="C22" s="10">
        <v>228.43377828236501</v>
      </c>
    </row>
    <row r="23" spans="1:3" x14ac:dyDescent="0.25">
      <c r="A23" s="10">
        <v>1999</v>
      </c>
      <c r="B23" s="10">
        <v>10</v>
      </c>
      <c r="C23" s="10">
        <v>235.43901854894801</v>
      </c>
    </row>
    <row r="24" spans="1:3" x14ac:dyDescent="0.25">
      <c r="A24" s="10">
        <v>1999</v>
      </c>
      <c r="B24" s="10">
        <v>11</v>
      </c>
      <c r="C24" s="10">
        <v>236.87352515244501</v>
      </c>
    </row>
    <row r="25" spans="1:3" x14ac:dyDescent="0.25">
      <c r="A25" s="10">
        <v>1999</v>
      </c>
      <c r="B25" s="10">
        <v>12</v>
      </c>
      <c r="C25" s="10">
        <v>229.41726901049901</v>
      </c>
    </row>
    <row r="26" spans="1:3" x14ac:dyDescent="0.25">
      <c r="A26" s="10">
        <v>2000</v>
      </c>
      <c r="B26" s="10">
        <v>1</v>
      </c>
      <c r="C26" s="10">
        <v>236.75923765732799</v>
      </c>
    </row>
    <row r="27" spans="1:3" x14ac:dyDescent="0.25">
      <c r="A27" s="10">
        <v>2000</v>
      </c>
      <c r="B27" s="10">
        <v>2</v>
      </c>
      <c r="C27" s="10">
        <v>229.172667896836</v>
      </c>
    </row>
    <row r="28" spans="1:3" x14ac:dyDescent="0.25">
      <c r="A28" s="10">
        <v>2000</v>
      </c>
      <c r="B28" s="10">
        <v>3</v>
      </c>
      <c r="C28" s="10">
        <v>233.21126577762101</v>
      </c>
    </row>
    <row r="29" spans="1:3" x14ac:dyDescent="0.25">
      <c r="A29" s="10">
        <v>2000</v>
      </c>
      <c r="B29" s="10">
        <v>4</v>
      </c>
      <c r="C29" s="10">
        <v>226.04560911176401</v>
      </c>
    </row>
    <row r="30" spans="1:3" x14ac:dyDescent="0.25">
      <c r="A30" s="10">
        <v>2000</v>
      </c>
      <c r="B30" s="10">
        <v>5</v>
      </c>
      <c r="C30" s="10">
        <v>227.64216760525301</v>
      </c>
    </row>
    <row r="31" spans="1:3" x14ac:dyDescent="0.25">
      <c r="A31" s="10">
        <v>2000</v>
      </c>
      <c r="B31" s="10">
        <v>6</v>
      </c>
      <c r="C31" s="10">
        <v>226.61430582614</v>
      </c>
    </row>
    <row r="32" spans="1:3" x14ac:dyDescent="0.25">
      <c r="A32" s="10">
        <v>2000</v>
      </c>
      <c r="B32" s="10">
        <v>7</v>
      </c>
      <c r="C32" s="10">
        <v>229.93431260913201</v>
      </c>
    </row>
    <row r="33" spans="1:3" x14ac:dyDescent="0.25">
      <c r="A33" s="10">
        <v>2000</v>
      </c>
      <c r="B33" s="10">
        <v>8</v>
      </c>
      <c r="C33" s="10">
        <v>221.388078108814</v>
      </c>
    </row>
    <row r="34" spans="1:3" x14ac:dyDescent="0.25">
      <c r="A34" s="10">
        <v>2000</v>
      </c>
      <c r="B34" s="10">
        <v>9</v>
      </c>
      <c r="C34" s="10">
        <v>229.449002521209</v>
      </c>
    </row>
    <row r="35" spans="1:3" x14ac:dyDescent="0.25">
      <c r="A35" s="10">
        <v>2000</v>
      </c>
      <c r="B35" s="10">
        <v>10</v>
      </c>
      <c r="C35" s="10">
        <v>215.92165865163199</v>
      </c>
    </row>
    <row r="36" spans="1:3" x14ac:dyDescent="0.25">
      <c r="A36" s="10">
        <v>2000</v>
      </c>
      <c r="B36" s="10">
        <v>11</v>
      </c>
      <c r="C36" s="10">
        <v>222.878699014147</v>
      </c>
    </row>
    <row r="37" spans="1:3" x14ac:dyDescent="0.25">
      <c r="A37" s="10">
        <v>2000</v>
      </c>
      <c r="B37" s="10">
        <v>12</v>
      </c>
      <c r="C37" s="10">
        <v>229.798320027458</v>
      </c>
    </row>
    <row r="38" spans="1:3" x14ac:dyDescent="0.25">
      <c r="A38" s="10">
        <v>2001</v>
      </c>
      <c r="B38" s="10">
        <v>1</v>
      </c>
      <c r="C38" s="10">
        <v>219.02776877206401</v>
      </c>
    </row>
    <row r="39" spans="1:3" x14ac:dyDescent="0.25">
      <c r="A39" s="10">
        <v>2001</v>
      </c>
      <c r="B39" s="10">
        <v>2</v>
      </c>
      <c r="C39" s="10">
        <v>228.582335462938</v>
      </c>
    </row>
    <row r="40" spans="1:3" x14ac:dyDescent="0.25">
      <c r="A40" s="10">
        <v>2001</v>
      </c>
      <c r="B40" s="10">
        <v>3</v>
      </c>
      <c r="C40" s="10">
        <v>206.88688583826701</v>
      </c>
    </row>
    <row r="41" spans="1:3" x14ac:dyDescent="0.25">
      <c r="A41" s="10">
        <v>2001</v>
      </c>
      <c r="B41" s="10">
        <v>4</v>
      </c>
      <c r="C41" s="10">
        <v>212.50634030731399</v>
      </c>
    </row>
    <row r="42" spans="1:3" x14ac:dyDescent="0.25">
      <c r="A42" s="10">
        <v>2001</v>
      </c>
      <c r="B42" s="10">
        <v>5</v>
      </c>
      <c r="C42" s="10">
        <v>203.33515388188999</v>
      </c>
    </row>
    <row r="43" spans="1:3" x14ac:dyDescent="0.25">
      <c r="A43" s="10">
        <v>2001</v>
      </c>
      <c r="B43" s="10">
        <v>6</v>
      </c>
      <c r="C43" s="10">
        <v>208.442693513618</v>
      </c>
    </row>
    <row r="44" spans="1:3" x14ac:dyDescent="0.25">
      <c r="A44" s="10">
        <v>2001</v>
      </c>
      <c r="B44" s="10">
        <v>7</v>
      </c>
      <c r="C44" s="10">
        <v>203.24100280546301</v>
      </c>
    </row>
    <row r="45" spans="1:3" x14ac:dyDescent="0.25">
      <c r="A45" s="10">
        <v>2001</v>
      </c>
      <c r="B45" s="10">
        <v>8</v>
      </c>
      <c r="C45" s="10">
        <v>203.62322527563501</v>
      </c>
    </row>
    <row r="46" spans="1:3" x14ac:dyDescent="0.25">
      <c r="A46" s="10">
        <v>2001</v>
      </c>
      <c r="B46" s="10">
        <v>9</v>
      </c>
      <c r="C46" s="10">
        <v>201.01229527394301</v>
      </c>
    </row>
    <row r="47" spans="1:3" x14ac:dyDescent="0.25">
      <c r="A47" s="10">
        <v>2001</v>
      </c>
      <c r="B47" s="10">
        <v>10</v>
      </c>
      <c r="C47" s="10">
        <v>201.178968061223</v>
      </c>
    </row>
    <row r="48" spans="1:3" x14ac:dyDescent="0.25">
      <c r="A48" s="10">
        <v>2001</v>
      </c>
      <c r="B48" s="10">
        <v>11</v>
      </c>
      <c r="C48" s="10">
        <v>198.906445414518</v>
      </c>
    </row>
    <row r="49" spans="1:3" x14ac:dyDescent="0.25">
      <c r="A49" s="10">
        <v>2001</v>
      </c>
      <c r="B49" s="10">
        <v>12</v>
      </c>
      <c r="C49" s="10">
        <v>198.99405236972399</v>
      </c>
    </row>
    <row r="50" spans="1:3" x14ac:dyDescent="0.25">
      <c r="A50" s="10">
        <v>2002</v>
      </c>
      <c r="B50" s="10">
        <v>1</v>
      </c>
      <c r="C50" s="10">
        <v>185.89524400679699</v>
      </c>
    </row>
    <row r="51" spans="1:3" x14ac:dyDescent="0.25">
      <c r="A51" s="10">
        <v>2002</v>
      </c>
      <c r="B51" s="10">
        <v>2</v>
      </c>
      <c r="C51" s="10">
        <v>213.03948409760201</v>
      </c>
    </row>
    <row r="52" spans="1:3" x14ac:dyDescent="0.25">
      <c r="A52" s="10">
        <v>2002</v>
      </c>
      <c r="B52" s="10">
        <v>3</v>
      </c>
      <c r="C52" s="10">
        <v>217.045500520692</v>
      </c>
    </row>
    <row r="53" spans="1:3" x14ac:dyDescent="0.25">
      <c r="A53" s="10">
        <v>2002</v>
      </c>
      <c r="B53" s="10">
        <v>4</v>
      </c>
      <c r="C53" s="10">
        <v>220.774493598276</v>
      </c>
    </row>
    <row r="54" spans="1:3" x14ac:dyDescent="0.25">
      <c r="A54" s="10">
        <v>2002</v>
      </c>
      <c r="B54" s="10">
        <v>5</v>
      </c>
      <c r="C54" s="10">
        <v>217.65118325056301</v>
      </c>
    </row>
    <row r="55" spans="1:3" x14ac:dyDescent="0.25">
      <c r="A55" s="10">
        <v>2002</v>
      </c>
      <c r="B55" s="10">
        <v>6</v>
      </c>
      <c r="C55" s="10">
        <v>242.37918937419499</v>
      </c>
    </row>
    <row r="56" spans="1:3" x14ac:dyDescent="0.25">
      <c r="A56" s="10">
        <v>2002</v>
      </c>
      <c r="B56" s="10">
        <v>7</v>
      </c>
      <c r="C56" s="10">
        <v>219.36624948889801</v>
      </c>
    </row>
    <row r="57" spans="1:3" x14ac:dyDescent="0.25">
      <c r="A57" s="10">
        <v>2002</v>
      </c>
      <c r="B57" s="10">
        <v>8</v>
      </c>
      <c r="C57" s="10">
        <v>203.90135874652</v>
      </c>
    </row>
    <row r="58" spans="1:3" x14ac:dyDescent="0.25">
      <c r="A58" s="10">
        <v>2002</v>
      </c>
      <c r="B58" s="10">
        <v>9</v>
      </c>
      <c r="C58" s="10">
        <v>202.79941116063699</v>
      </c>
    </row>
    <row r="59" spans="1:3" x14ac:dyDescent="0.25">
      <c r="A59" s="10">
        <v>2002</v>
      </c>
      <c r="B59" s="10">
        <v>10</v>
      </c>
      <c r="C59" s="10">
        <v>197.69997304209201</v>
      </c>
    </row>
    <row r="60" spans="1:3" x14ac:dyDescent="0.25">
      <c r="A60" s="10">
        <v>2002</v>
      </c>
      <c r="B60" s="10">
        <v>11</v>
      </c>
      <c r="C60" s="10">
        <v>199.92580301437999</v>
      </c>
    </row>
    <row r="61" spans="1:3" x14ac:dyDescent="0.25">
      <c r="A61" s="10">
        <v>2002</v>
      </c>
      <c r="B61" s="10">
        <v>12</v>
      </c>
      <c r="C61" s="10">
        <v>201.561067602181</v>
      </c>
    </row>
    <row r="62" spans="1:3" x14ac:dyDescent="0.25">
      <c r="A62" s="10">
        <v>2003</v>
      </c>
      <c r="B62" s="10">
        <v>1</v>
      </c>
      <c r="C62" s="10">
        <v>203.627783957085</v>
      </c>
    </row>
    <row r="63" spans="1:3" x14ac:dyDescent="0.25">
      <c r="A63" s="10">
        <v>2003</v>
      </c>
      <c r="B63" s="10">
        <v>2</v>
      </c>
      <c r="C63" s="10">
        <v>204.81464521830301</v>
      </c>
    </row>
    <row r="64" spans="1:3" x14ac:dyDescent="0.25">
      <c r="A64" s="10">
        <v>2003</v>
      </c>
      <c r="B64" s="10">
        <v>3</v>
      </c>
      <c r="C64" s="10">
        <v>207.60054181889299</v>
      </c>
    </row>
    <row r="65" spans="1:3" x14ac:dyDescent="0.25">
      <c r="A65" s="10">
        <v>2003</v>
      </c>
      <c r="B65" s="10">
        <v>4</v>
      </c>
      <c r="C65" s="10">
        <v>222.40063066145501</v>
      </c>
    </row>
    <row r="66" spans="1:3" x14ac:dyDescent="0.25">
      <c r="A66" s="10">
        <v>2003</v>
      </c>
      <c r="B66" s="10">
        <v>5</v>
      </c>
      <c r="C66" s="10">
        <v>215.75007942071699</v>
      </c>
    </row>
    <row r="67" spans="1:3" x14ac:dyDescent="0.25">
      <c r="A67" s="10">
        <v>2003</v>
      </c>
      <c r="B67" s="10">
        <v>6</v>
      </c>
      <c r="C67" s="10">
        <v>219.66742734102701</v>
      </c>
    </row>
    <row r="68" spans="1:3" x14ac:dyDescent="0.25">
      <c r="A68" s="10">
        <v>2003</v>
      </c>
      <c r="B68" s="10">
        <v>7</v>
      </c>
      <c r="C68" s="10">
        <v>222.093031206169</v>
      </c>
    </row>
    <row r="69" spans="1:3" x14ac:dyDescent="0.25">
      <c r="A69" s="10">
        <v>2003</v>
      </c>
      <c r="B69" s="10">
        <v>8</v>
      </c>
      <c r="C69" s="10">
        <v>226.00747185706999</v>
      </c>
    </row>
    <row r="70" spans="1:3" x14ac:dyDescent="0.25">
      <c r="A70" s="10">
        <v>2003</v>
      </c>
      <c r="B70" s="10">
        <v>9</v>
      </c>
      <c r="C70" s="10">
        <v>228.76963327671601</v>
      </c>
    </row>
    <row r="71" spans="1:3" x14ac:dyDescent="0.25">
      <c r="A71" s="10">
        <v>2003</v>
      </c>
      <c r="B71" s="10">
        <v>10</v>
      </c>
      <c r="C71" s="10">
        <v>231.69922806605601</v>
      </c>
    </row>
    <row r="72" spans="1:3" x14ac:dyDescent="0.25">
      <c r="A72" s="10">
        <v>2003</v>
      </c>
      <c r="B72" s="10">
        <v>11</v>
      </c>
      <c r="C72" s="10">
        <v>235.97301985896499</v>
      </c>
    </row>
    <row r="73" spans="1:3" x14ac:dyDescent="0.25">
      <c r="A73" s="10">
        <v>2003</v>
      </c>
      <c r="B73" s="10">
        <v>12</v>
      </c>
      <c r="C73" s="10">
        <v>241.248984948405</v>
      </c>
    </row>
    <row r="74" spans="1:3" x14ac:dyDescent="0.25">
      <c r="A74" s="10">
        <v>2004</v>
      </c>
      <c r="B74" s="10">
        <v>1</v>
      </c>
      <c r="C74" s="10">
        <v>238.94079131373499</v>
      </c>
    </row>
    <row r="75" spans="1:3" x14ac:dyDescent="0.25">
      <c r="A75" s="10">
        <v>2004</v>
      </c>
      <c r="B75" s="10">
        <v>2</v>
      </c>
      <c r="C75" s="10">
        <v>250.13644734393699</v>
      </c>
    </row>
    <row r="76" spans="1:3" x14ac:dyDescent="0.25">
      <c r="A76" s="10">
        <v>2004</v>
      </c>
      <c r="B76" s="10">
        <v>3</v>
      </c>
      <c r="C76" s="10">
        <v>249.474785365381</v>
      </c>
    </row>
    <row r="77" spans="1:3" x14ac:dyDescent="0.25">
      <c r="A77" s="10">
        <v>2004</v>
      </c>
      <c r="B77" s="10">
        <v>4</v>
      </c>
      <c r="C77" s="10">
        <v>242.44919279585</v>
      </c>
    </row>
    <row r="78" spans="1:3" x14ac:dyDescent="0.25">
      <c r="A78" s="10">
        <v>2004</v>
      </c>
      <c r="B78" s="10">
        <v>5</v>
      </c>
      <c r="C78" s="10">
        <v>258.36491035635601</v>
      </c>
    </row>
    <row r="79" spans="1:3" x14ac:dyDescent="0.25">
      <c r="A79" s="10">
        <v>2004</v>
      </c>
      <c r="B79" s="10">
        <v>6</v>
      </c>
      <c r="C79" s="10">
        <v>259.53190499603699</v>
      </c>
    </row>
    <row r="80" spans="1:3" x14ac:dyDescent="0.25">
      <c r="A80" s="10">
        <v>2004</v>
      </c>
      <c r="B80" s="10">
        <v>7</v>
      </c>
      <c r="C80" s="10">
        <v>252.99140782184099</v>
      </c>
    </row>
    <row r="81" spans="1:3" x14ac:dyDescent="0.25">
      <c r="A81" s="10">
        <v>2004</v>
      </c>
      <c r="B81" s="10">
        <v>8</v>
      </c>
      <c r="C81" s="10">
        <v>252.048212557434</v>
      </c>
    </row>
    <row r="82" spans="1:3" x14ac:dyDescent="0.25">
      <c r="A82" s="10">
        <v>2004</v>
      </c>
      <c r="B82" s="10">
        <v>9</v>
      </c>
      <c r="C82" s="10">
        <v>250.921033893752</v>
      </c>
    </row>
    <row r="83" spans="1:3" x14ac:dyDescent="0.25">
      <c r="A83" s="10">
        <v>2004</v>
      </c>
      <c r="B83" s="10">
        <v>10</v>
      </c>
      <c r="C83" s="10">
        <v>255.518259583055</v>
      </c>
    </row>
    <row r="84" spans="1:3" x14ac:dyDescent="0.25">
      <c r="A84" s="10">
        <v>2004</v>
      </c>
      <c r="B84" s="10">
        <v>11</v>
      </c>
      <c r="C84" s="10">
        <v>255.62110895617499</v>
      </c>
    </row>
    <row r="85" spans="1:3" x14ac:dyDescent="0.25">
      <c r="A85" s="10">
        <v>2004</v>
      </c>
      <c r="B85" s="10">
        <v>12</v>
      </c>
      <c r="C85" s="10">
        <v>256.595762185583</v>
      </c>
    </row>
    <row r="86" spans="1:3" x14ac:dyDescent="0.25">
      <c r="A86" s="10">
        <v>2005</v>
      </c>
      <c r="B86" s="10">
        <v>1</v>
      </c>
      <c r="C86" s="10">
        <v>256.99055322643898</v>
      </c>
    </row>
    <row r="87" spans="1:3" x14ac:dyDescent="0.25">
      <c r="A87" s="10">
        <v>2005</v>
      </c>
      <c r="B87" s="10">
        <v>2</v>
      </c>
      <c r="C87" s="10">
        <v>258.65066097303401</v>
      </c>
    </row>
    <row r="88" spans="1:3" x14ac:dyDescent="0.25">
      <c r="A88" s="10">
        <v>2005</v>
      </c>
      <c r="B88" s="10">
        <v>3</v>
      </c>
      <c r="C88" s="10">
        <v>242.636551266471</v>
      </c>
    </row>
    <row r="89" spans="1:3" x14ac:dyDescent="0.25">
      <c r="A89" s="10">
        <v>2005</v>
      </c>
      <c r="B89" s="10">
        <v>4</v>
      </c>
      <c r="C89" s="10">
        <v>281.01632970507501</v>
      </c>
    </row>
    <row r="90" spans="1:3" x14ac:dyDescent="0.25">
      <c r="A90" s="10">
        <v>2005</v>
      </c>
      <c r="B90" s="10">
        <v>5</v>
      </c>
      <c r="C90" s="10">
        <v>280.26076279982698</v>
      </c>
    </row>
    <row r="91" spans="1:3" x14ac:dyDescent="0.25">
      <c r="A91" s="10">
        <v>2005</v>
      </c>
      <c r="B91" s="10">
        <v>6</v>
      </c>
      <c r="C91" s="10">
        <v>263.35112159646798</v>
      </c>
    </row>
    <row r="92" spans="1:3" x14ac:dyDescent="0.25">
      <c r="A92" s="10">
        <v>2005</v>
      </c>
      <c r="B92" s="10">
        <v>7</v>
      </c>
      <c r="C92" s="10">
        <v>261.25357153117898</v>
      </c>
    </row>
    <row r="93" spans="1:3" x14ac:dyDescent="0.25">
      <c r="A93" s="10">
        <v>2005</v>
      </c>
      <c r="B93" s="10">
        <v>8</v>
      </c>
      <c r="C93" s="10">
        <v>260.60710734748801</v>
      </c>
    </row>
    <row r="94" spans="1:3" x14ac:dyDescent="0.25">
      <c r="A94" s="10">
        <v>2005</v>
      </c>
      <c r="B94" s="10">
        <v>9</v>
      </c>
      <c r="C94" s="10">
        <v>261.36948260727598</v>
      </c>
    </row>
    <row r="95" spans="1:3" x14ac:dyDescent="0.25">
      <c r="A95" s="10">
        <v>2005</v>
      </c>
      <c r="B95" s="10">
        <v>10</v>
      </c>
      <c r="C95" s="10">
        <v>266.42372701238401</v>
      </c>
    </row>
    <row r="96" spans="1:3" x14ac:dyDescent="0.25">
      <c r="A96" s="10">
        <v>2005</v>
      </c>
      <c r="B96" s="10">
        <v>11</v>
      </c>
      <c r="C96" s="10">
        <v>260.87002226628402</v>
      </c>
    </row>
    <row r="97" spans="1:3" x14ac:dyDescent="0.25">
      <c r="A97" s="10">
        <v>2005</v>
      </c>
      <c r="B97" s="10">
        <v>12</v>
      </c>
      <c r="C97" s="10">
        <v>258.86424986805201</v>
      </c>
    </row>
    <row r="98" spans="1:3" x14ac:dyDescent="0.25">
      <c r="A98" s="10">
        <v>2006</v>
      </c>
      <c r="B98" s="10">
        <v>1</v>
      </c>
      <c r="C98" s="10">
        <v>260.15186593395703</v>
      </c>
    </row>
    <row r="99" spans="1:3" x14ac:dyDescent="0.25">
      <c r="A99" s="10">
        <v>2006</v>
      </c>
      <c r="B99" s="10">
        <v>2</v>
      </c>
      <c r="C99" s="10">
        <v>249.89237382120999</v>
      </c>
    </row>
    <row r="100" spans="1:3" x14ac:dyDescent="0.25">
      <c r="A100" s="10">
        <v>2006</v>
      </c>
      <c r="B100" s="10">
        <v>3</v>
      </c>
      <c r="C100" s="10">
        <v>250.061492581077</v>
      </c>
    </row>
    <row r="101" spans="1:3" x14ac:dyDescent="0.25">
      <c r="A101" s="10">
        <v>2006</v>
      </c>
      <c r="B101" s="10">
        <v>4</v>
      </c>
      <c r="C101" s="10">
        <v>231.44469146183499</v>
      </c>
    </row>
    <row r="102" spans="1:3" x14ac:dyDescent="0.25">
      <c r="A102" s="10">
        <v>2006</v>
      </c>
      <c r="B102" s="10">
        <v>5</v>
      </c>
      <c r="C102" s="10">
        <v>225.73878264399801</v>
      </c>
    </row>
    <row r="103" spans="1:3" x14ac:dyDescent="0.25">
      <c r="A103" s="10">
        <v>2006</v>
      </c>
      <c r="B103" s="10">
        <v>6</v>
      </c>
      <c r="C103" s="10">
        <v>238.626175921699</v>
      </c>
    </row>
    <row r="104" spans="1:3" x14ac:dyDescent="0.25">
      <c r="A104" s="10">
        <v>2006</v>
      </c>
      <c r="B104" s="10">
        <v>7</v>
      </c>
      <c r="C104" s="10">
        <v>249.87969696705099</v>
      </c>
    </row>
    <row r="105" spans="1:3" x14ac:dyDescent="0.25">
      <c r="A105" s="10">
        <v>2006</v>
      </c>
      <c r="B105" s="10">
        <v>8</v>
      </c>
      <c r="C105" s="10">
        <v>273.84979185738098</v>
      </c>
    </row>
    <row r="106" spans="1:3" x14ac:dyDescent="0.25">
      <c r="A106" s="10">
        <v>2006</v>
      </c>
      <c r="B106" s="10">
        <v>9</v>
      </c>
      <c r="C106" s="10">
        <v>272.685891122236</v>
      </c>
    </row>
    <row r="107" spans="1:3" x14ac:dyDescent="0.25">
      <c r="A107" s="10">
        <v>2006</v>
      </c>
      <c r="B107" s="10">
        <v>10</v>
      </c>
      <c r="C107" s="10">
        <v>269.69443746527799</v>
      </c>
    </row>
    <row r="108" spans="1:3" x14ac:dyDescent="0.25">
      <c r="A108" s="10">
        <v>2006</v>
      </c>
      <c r="B108" s="10">
        <v>11</v>
      </c>
      <c r="C108" s="10">
        <v>270.47931662613303</v>
      </c>
    </row>
    <row r="109" spans="1:3" x14ac:dyDescent="0.25">
      <c r="A109" s="10">
        <v>2006</v>
      </c>
      <c r="B109" s="10">
        <v>12</v>
      </c>
      <c r="C109" s="10">
        <v>250.03616987880201</v>
      </c>
    </row>
    <row r="110" spans="1:3" x14ac:dyDescent="0.25">
      <c r="A110" s="10">
        <v>2007</v>
      </c>
      <c r="B110" s="10">
        <v>1</v>
      </c>
      <c r="C110" s="10">
        <v>262.35980921851899</v>
      </c>
    </row>
    <row r="111" spans="1:3" x14ac:dyDescent="0.25">
      <c r="A111" s="10">
        <v>2007</v>
      </c>
      <c r="B111" s="10">
        <v>2</v>
      </c>
      <c r="C111" s="10">
        <v>263.51957740158599</v>
      </c>
    </row>
    <row r="112" spans="1:3" x14ac:dyDescent="0.25">
      <c r="A112" s="10">
        <v>2007</v>
      </c>
      <c r="B112" s="10">
        <v>3</v>
      </c>
      <c r="C112" s="10">
        <v>258.85073422880902</v>
      </c>
    </row>
    <row r="113" spans="1:3" x14ac:dyDescent="0.25">
      <c r="A113" s="10">
        <v>2007</v>
      </c>
      <c r="B113" s="10">
        <v>4</v>
      </c>
      <c r="C113" s="10">
        <v>259.42338909276299</v>
      </c>
    </row>
    <row r="114" spans="1:3" x14ac:dyDescent="0.25">
      <c r="A114" s="10">
        <v>2007</v>
      </c>
      <c r="B114" s="10">
        <v>5</v>
      </c>
      <c r="C114" s="10">
        <v>259.11353287369599</v>
      </c>
    </row>
    <row r="115" spans="1:3" x14ac:dyDescent="0.25">
      <c r="A115" s="10">
        <v>2007</v>
      </c>
      <c r="B115" s="10">
        <v>6</v>
      </c>
      <c r="C115" s="10">
        <v>271.466518682198</v>
      </c>
    </row>
    <row r="116" spans="1:3" x14ac:dyDescent="0.25">
      <c r="A116" s="10">
        <v>2007</v>
      </c>
      <c r="B116" s="10">
        <v>7</v>
      </c>
      <c r="C116" s="10">
        <v>274.08316611101202</v>
      </c>
    </row>
    <row r="117" spans="1:3" x14ac:dyDescent="0.25">
      <c r="A117" s="10">
        <v>2007</v>
      </c>
      <c r="B117" s="10">
        <v>8</v>
      </c>
      <c r="C117" s="10">
        <v>275.74547412745801</v>
      </c>
    </row>
    <row r="118" spans="1:3" x14ac:dyDescent="0.25">
      <c r="A118" s="10">
        <v>2007</v>
      </c>
      <c r="B118" s="10">
        <v>9</v>
      </c>
      <c r="C118" s="10">
        <v>248.514104023436</v>
      </c>
    </row>
    <row r="119" spans="1:3" x14ac:dyDescent="0.25">
      <c r="A119" s="10">
        <v>2007</v>
      </c>
      <c r="B119" s="10">
        <v>10</v>
      </c>
      <c r="C119" s="10">
        <v>272.06257152141097</v>
      </c>
    </row>
    <row r="120" spans="1:3" x14ac:dyDescent="0.25">
      <c r="A120" s="10">
        <v>2007</v>
      </c>
      <c r="B120" s="10">
        <v>11</v>
      </c>
      <c r="C120" s="10">
        <v>294.31190820582998</v>
      </c>
    </row>
    <row r="121" spans="1:3" x14ac:dyDescent="0.25">
      <c r="A121" s="10">
        <v>2007</v>
      </c>
      <c r="B121" s="10">
        <v>12</v>
      </c>
      <c r="C121" s="10">
        <v>283.17441069800998</v>
      </c>
    </row>
    <row r="122" spans="1:3" x14ac:dyDescent="0.25">
      <c r="A122" s="10">
        <v>2008</v>
      </c>
      <c r="B122" s="10">
        <v>1</v>
      </c>
      <c r="C122" s="10">
        <v>278.84343171178898</v>
      </c>
    </row>
    <row r="123" spans="1:3" x14ac:dyDescent="0.25">
      <c r="A123" s="10">
        <v>2008</v>
      </c>
      <c r="B123" s="10">
        <v>2</v>
      </c>
      <c r="C123" s="10">
        <v>284.05300127089203</v>
      </c>
    </row>
    <row r="124" spans="1:3" x14ac:dyDescent="0.25">
      <c r="A124" s="10">
        <v>2008</v>
      </c>
      <c r="B124" s="10">
        <v>3</v>
      </c>
      <c r="C124" s="10">
        <v>170.71515949917</v>
      </c>
    </row>
    <row r="125" spans="1:3" x14ac:dyDescent="0.25">
      <c r="A125" s="10">
        <v>2008</v>
      </c>
      <c r="B125" s="10">
        <v>4</v>
      </c>
      <c r="C125" s="10">
        <v>299.90916635299197</v>
      </c>
    </row>
    <row r="126" spans="1:3" x14ac:dyDescent="0.25">
      <c r="A126" s="10">
        <v>2008</v>
      </c>
      <c r="B126" s="10">
        <v>5</v>
      </c>
      <c r="C126" s="10">
        <v>237.71403104321999</v>
      </c>
    </row>
    <row r="127" spans="1:3" x14ac:dyDescent="0.25">
      <c r="A127" s="10">
        <v>2008</v>
      </c>
      <c r="B127" s="10">
        <v>6</v>
      </c>
      <c r="C127" s="10">
        <v>226.413871857142</v>
      </c>
    </row>
    <row r="128" spans="1:3" x14ac:dyDescent="0.25">
      <c r="A128" s="10">
        <v>2008</v>
      </c>
      <c r="B128" s="10">
        <v>7</v>
      </c>
      <c r="C128" s="10">
        <v>281.09452765372498</v>
      </c>
    </row>
    <row r="129" spans="1:3" x14ac:dyDescent="0.25">
      <c r="A129" s="10">
        <v>2008</v>
      </c>
      <c r="B129" s="10">
        <v>8</v>
      </c>
      <c r="C129" s="10">
        <v>277.25860347930598</v>
      </c>
    </row>
    <row r="130" spans="1:3" x14ac:dyDescent="0.25">
      <c r="A130" s="10">
        <v>2008</v>
      </c>
      <c r="B130" s="10">
        <v>9</v>
      </c>
      <c r="C130" s="10">
        <v>278.41887530652701</v>
      </c>
    </row>
    <row r="131" spans="1:3" x14ac:dyDescent="0.25">
      <c r="A131" s="10">
        <v>2008</v>
      </c>
      <c r="B131" s="10">
        <v>10</v>
      </c>
      <c r="C131" s="10">
        <v>264.57220743864798</v>
      </c>
    </row>
    <row r="132" spans="1:3" x14ac:dyDescent="0.25">
      <c r="A132" s="10">
        <v>2008</v>
      </c>
      <c r="B132" s="10">
        <v>11</v>
      </c>
      <c r="C132" s="10">
        <v>260.70681147653698</v>
      </c>
    </row>
    <row r="133" spans="1:3" x14ac:dyDescent="0.25">
      <c r="A133" s="10">
        <v>2008</v>
      </c>
      <c r="B133" s="10">
        <v>12</v>
      </c>
      <c r="C133" s="10">
        <v>267.08574961272899</v>
      </c>
    </row>
    <row r="134" spans="1:3" x14ac:dyDescent="0.25">
      <c r="A134" s="10">
        <v>2009</v>
      </c>
      <c r="B134" s="10">
        <v>1</v>
      </c>
      <c r="C134" s="10">
        <v>280.38321509747601</v>
      </c>
    </row>
    <row r="135" spans="1:3" x14ac:dyDescent="0.25">
      <c r="A135" s="10">
        <v>2009</v>
      </c>
      <c r="B135" s="10">
        <v>2</v>
      </c>
      <c r="C135" s="10">
        <v>278.55564404048101</v>
      </c>
    </row>
    <row r="136" spans="1:3" x14ac:dyDescent="0.25">
      <c r="A136" s="10">
        <v>2009</v>
      </c>
      <c r="B136" s="10">
        <v>3</v>
      </c>
      <c r="C136" s="10">
        <v>265.13527790552598</v>
      </c>
    </row>
    <row r="137" spans="1:3" x14ac:dyDescent="0.25">
      <c r="A137" s="10">
        <v>2009</v>
      </c>
      <c r="B137" s="10">
        <v>4</v>
      </c>
      <c r="C137" s="10">
        <v>294.16982422643503</v>
      </c>
    </row>
    <row r="138" spans="1:3" x14ac:dyDescent="0.25">
      <c r="A138" s="10">
        <v>2009</v>
      </c>
      <c r="B138" s="10">
        <v>5</v>
      </c>
      <c r="C138" s="10">
        <v>272.99078619181103</v>
      </c>
    </row>
    <row r="139" spans="1:3" x14ac:dyDescent="0.25">
      <c r="A139" s="10">
        <v>2009</v>
      </c>
      <c r="B139" s="10">
        <v>6</v>
      </c>
      <c r="C139" s="10">
        <v>300.94696024238402</v>
      </c>
    </row>
    <row r="140" spans="1:3" x14ac:dyDescent="0.25">
      <c r="A140" s="10">
        <v>2009</v>
      </c>
      <c r="B140" s="10">
        <v>7</v>
      </c>
      <c r="C140" s="10">
        <v>290.718233390156</v>
      </c>
    </row>
    <row r="141" spans="1:3" x14ac:dyDescent="0.25">
      <c r="A141" s="10">
        <v>2009</v>
      </c>
      <c r="B141" s="10">
        <v>8</v>
      </c>
      <c r="C141" s="10">
        <v>289.16787879852501</v>
      </c>
    </row>
    <row r="142" spans="1:3" x14ac:dyDescent="0.25">
      <c r="A142" s="10">
        <v>2009</v>
      </c>
      <c r="B142" s="10">
        <v>9</v>
      </c>
      <c r="C142" s="10">
        <v>266.09806381973902</v>
      </c>
    </row>
    <row r="143" spans="1:3" x14ac:dyDescent="0.25">
      <c r="A143" s="10">
        <v>2009</v>
      </c>
      <c r="B143" s="10">
        <v>10</v>
      </c>
      <c r="C143" s="10">
        <v>294.182625170157</v>
      </c>
    </row>
    <row r="144" spans="1:3" x14ac:dyDescent="0.25">
      <c r="A144" s="10">
        <v>2009</v>
      </c>
      <c r="B144" s="10">
        <v>11</v>
      </c>
      <c r="C144" s="10">
        <v>280.11456660884397</v>
      </c>
    </row>
    <row r="145" spans="1:3" x14ac:dyDescent="0.25">
      <c r="A145" s="10">
        <v>2009</v>
      </c>
      <c r="B145" s="10">
        <v>12</v>
      </c>
      <c r="C145" s="10">
        <v>265.18170898613698</v>
      </c>
    </row>
    <row r="146" spans="1:3" x14ac:dyDescent="0.25">
      <c r="A146" s="10">
        <v>2010</v>
      </c>
      <c r="B146" s="10">
        <v>1</v>
      </c>
      <c r="C146" s="10">
        <v>248.31219255867899</v>
      </c>
    </row>
    <row r="147" spans="1:3" x14ac:dyDescent="0.25">
      <c r="A147" s="10">
        <v>2010</v>
      </c>
      <c r="B147" s="10">
        <v>2</v>
      </c>
      <c r="C147" s="10">
        <v>230.17521676256899</v>
      </c>
    </row>
    <row r="148" spans="1:3" x14ac:dyDescent="0.25">
      <c r="A148" s="10">
        <v>2010</v>
      </c>
      <c r="B148" s="10">
        <v>3</v>
      </c>
      <c r="C148" s="10">
        <v>225.35556861193501</v>
      </c>
    </row>
    <row r="149" spans="1:3" x14ac:dyDescent="0.25">
      <c r="A149" s="10">
        <v>2010</v>
      </c>
      <c r="B149" s="10">
        <v>4</v>
      </c>
      <c r="C149" s="10">
        <v>218.66489928918699</v>
      </c>
    </row>
    <row r="150" spans="1:3" x14ac:dyDescent="0.25">
      <c r="A150" s="10">
        <v>2010</v>
      </c>
      <c r="B150" s="10">
        <v>5</v>
      </c>
      <c r="C150" s="10">
        <v>219.957251219467</v>
      </c>
    </row>
    <row r="151" spans="1:3" x14ac:dyDescent="0.25">
      <c r="A151" s="10">
        <v>2010</v>
      </c>
      <c r="B151" s="10">
        <v>6</v>
      </c>
      <c r="C151" s="10">
        <v>211.209408324051</v>
      </c>
    </row>
    <row r="152" spans="1:3" x14ac:dyDescent="0.25">
      <c r="A152" s="10">
        <v>2010</v>
      </c>
      <c r="B152" s="10">
        <v>7</v>
      </c>
      <c r="C152" s="10">
        <v>215.349785229399</v>
      </c>
    </row>
    <row r="153" spans="1:3" x14ac:dyDescent="0.25">
      <c r="A153" s="10">
        <v>2010</v>
      </c>
      <c r="B153" s="10">
        <v>8</v>
      </c>
      <c r="C153" s="10">
        <v>227.95803294434799</v>
      </c>
    </row>
    <row r="154" spans="1:3" x14ac:dyDescent="0.25">
      <c r="A154" s="10">
        <v>2010</v>
      </c>
      <c r="B154" s="10">
        <v>9</v>
      </c>
      <c r="C154" s="10">
        <v>210.63590763526199</v>
      </c>
    </row>
    <row r="155" spans="1:3" x14ac:dyDescent="0.25">
      <c r="A155" s="10">
        <v>2010</v>
      </c>
      <c r="B155" s="10">
        <v>10</v>
      </c>
      <c r="C155" s="10">
        <v>205.13494800690199</v>
      </c>
    </row>
    <row r="156" spans="1:3" x14ac:dyDescent="0.25">
      <c r="A156" s="10">
        <v>2010</v>
      </c>
      <c r="B156" s="10">
        <v>11</v>
      </c>
      <c r="C156" s="10">
        <v>209.31996774937201</v>
      </c>
    </row>
    <row r="157" spans="1:3" x14ac:dyDescent="0.25">
      <c r="A157" s="10">
        <v>2010</v>
      </c>
      <c r="B157" s="10">
        <v>12</v>
      </c>
      <c r="C157" s="10">
        <v>204.559794871278</v>
      </c>
    </row>
    <row r="158" spans="1:3" x14ac:dyDescent="0.25">
      <c r="A158" s="10">
        <v>2011</v>
      </c>
      <c r="B158" s="10">
        <v>1</v>
      </c>
      <c r="C158" s="10">
        <v>210.82938862458701</v>
      </c>
    </row>
    <row r="159" spans="1:3" x14ac:dyDescent="0.25">
      <c r="A159" s="10">
        <v>2011</v>
      </c>
      <c r="B159" s="10">
        <v>2</v>
      </c>
      <c r="C159" s="10">
        <v>216.84052005920799</v>
      </c>
    </row>
    <row r="160" spans="1:3" x14ac:dyDescent="0.25">
      <c r="A160" s="10">
        <v>2011</v>
      </c>
      <c r="B160" s="10">
        <v>3</v>
      </c>
      <c r="C160" s="10">
        <v>211.11922900671499</v>
      </c>
    </row>
    <row r="161" spans="1:3" x14ac:dyDescent="0.25">
      <c r="A161" s="10">
        <v>2011</v>
      </c>
      <c r="B161" s="10">
        <v>4</v>
      </c>
      <c r="C161" s="10">
        <v>207.74339628610201</v>
      </c>
    </row>
    <row r="162" spans="1:3" x14ac:dyDescent="0.25">
      <c r="A162" s="10">
        <v>2011</v>
      </c>
      <c r="B162" s="10">
        <v>5</v>
      </c>
      <c r="C162" s="10">
        <v>208.717389608556</v>
      </c>
    </row>
    <row r="163" spans="1:3" x14ac:dyDescent="0.25">
      <c r="A163" s="10">
        <v>2011</v>
      </c>
      <c r="B163" s="10">
        <v>6</v>
      </c>
      <c r="C163" s="10">
        <v>204.20317518440999</v>
      </c>
    </row>
    <row r="164" spans="1:3" x14ac:dyDescent="0.25">
      <c r="A164" s="10">
        <v>2011</v>
      </c>
      <c r="B164" s="10">
        <v>7</v>
      </c>
      <c r="C164" s="10">
        <v>202.44258761246999</v>
      </c>
    </row>
    <row r="165" spans="1:3" x14ac:dyDescent="0.25">
      <c r="A165" s="10">
        <v>2011</v>
      </c>
      <c r="B165" s="10">
        <v>8</v>
      </c>
      <c r="C165" s="10">
        <v>205.35551786186099</v>
      </c>
    </row>
    <row r="166" spans="1:3" x14ac:dyDescent="0.25">
      <c r="A166" s="10">
        <v>2011</v>
      </c>
      <c r="B166" s="10">
        <v>9</v>
      </c>
      <c r="C166" s="10">
        <v>206.50433943176199</v>
      </c>
    </row>
    <row r="167" spans="1:3" x14ac:dyDescent="0.25">
      <c r="A167" s="10">
        <v>2011</v>
      </c>
      <c r="B167" s="10">
        <v>10</v>
      </c>
      <c r="C167" s="10">
        <v>210.590449736892</v>
      </c>
    </row>
    <row r="168" spans="1:3" x14ac:dyDescent="0.25">
      <c r="A168" s="10">
        <v>2011</v>
      </c>
      <c r="B168" s="10">
        <v>11</v>
      </c>
      <c r="C168" s="10">
        <v>205.51872847649</v>
      </c>
    </row>
    <row r="169" spans="1:3" x14ac:dyDescent="0.25">
      <c r="A169" s="10">
        <v>2011</v>
      </c>
      <c r="B169" s="10">
        <v>12</v>
      </c>
      <c r="C169" s="10">
        <v>216.763536979154</v>
      </c>
    </row>
    <row r="170" spans="1:3" x14ac:dyDescent="0.25">
      <c r="A170" s="10">
        <v>2012</v>
      </c>
      <c r="B170" s="10">
        <v>1</v>
      </c>
      <c r="C170" s="10">
        <v>216.05855008675101</v>
      </c>
    </row>
    <row r="171" spans="1:3" x14ac:dyDescent="0.25">
      <c r="A171" s="10">
        <v>2012</v>
      </c>
      <c r="B171" s="10">
        <v>2</v>
      </c>
      <c r="C171" s="10">
        <v>217.32740672248701</v>
      </c>
    </row>
    <row r="172" spans="1:3" x14ac:dyDescent="0.25">
      <c r="A172" s="10">
        <v>2012</v>
      </c>
      <c r="B172" s="10">
        <v>3</v>
      </c>
      <c r="C172" s="10">
        <v>218.04586653563001</v>
      </c>
    </row>
    <row r="173" spans="1:3" x14ac:dyDescent="0.25">
      <c r="A173" s="10">
        <v>2012</v>
      </c>
      <c r="B173" s="10">
        <v>4</v>
      </c>
      <c r="C173" s="10">
        <v>211.857406658592</v>
      </c>
    </row>
    <row r="174" spans="1:3" x14ac:dyDescent="0.25">
      <c r="A174" s="10">
        <v>2012</v>
      </c>
      <c r="B174" s="10">
        <v>5</v>
      </c>
      <c r="C174" s="10">
        <v>217.61317660614699</v>
      </c>
    </row>
    <row r="175" spans="1:3" x14ac:dyDescent="0.25">
      <c r="A175" s="10">
        <v>2012</v>
      </c>
      <c r="B175" s="10">
        <v>6</v>
      </c>
      <c r="C175" s="10">
        <v>208.45104995429801</v>
      </c>
    </row>
    <row r="176" spans="1:3" x14ac:dyDescent="0.25">
      <c r="A176" s="10">
        <v>2012</v>
      </c>
      <c r="B176" s="10">
        <v>7</v>
      </c>
      <c r="C176" s="10">
        <v>216.752959794303</v>
      </c>
    </row>
    <row r="177" spans="1:3" x14ac:dyDescent="0.25">
      <c r="A177" s="10">
        <v>2012</v>
      </c>
      <c r="B177" s="10">
        <v>8</v>
      </c>
      <c r="C177" s="10">
        <v>205.65341653408399</v>
      </c>
    </row>
    <row r="178" spans="1:3" x14ac:dyDescent="0.25">
      <c r="A178" s="10">
        <v>2012</v>
      </c>
      <c r="B178" s="10">
        <v>9</v>
      </c>
      <c r="C178" s="10">
        <v>218.00529396319499</v>
      </c>
    </row>
    <row r="179" spans="1:3" x14ac:dyDescent="0.25">
      <c r="A179" s="10">
        <v>2012</v>
      </c>
      <c r="B179" s="10">
        <v>10</v>
      </c>
      <c r="C179" s="10">
        <v>219.80862886736</v>
      </c>
    </row>
    <row r="180" spans="1:3" x14ac:dyDescent="0.25">
      <c r="A180" s="10">
        <v>2012</v>
      </c>
      <c r="B180" s="10">
        <v>11</v>
      </c>
      <c r="C180" s="10">
        <v>224.44475789685299</v>
      </c>
    </row>
    <row r="181" spans="1:3" x14ac:dyDescent="0.25">
      <c r="A181" s="10">
        <v>2012</v>
      </c>
      <c r="B181" s="10">
        <v>12</v>
      </c>
      <c r="C181" s="10">
        <v>225.310208635762</v>
      </c>
    </row>
    <row r="182" spans="1:3" x14ac:dyDescent="0.25">
      <c r="A182" s="10">
        <v>2013</v>
      </c>
      <c r="B182" s="10">
        <v>1</v>
      </c>
      <c r="C182" s="10">
        <v>231.455035715078</v>
      </c>
    </row>
    <row r="183" spans="1:3" x14ac:dyDescent="0.25">
      <c r="A183" s="10">
        <v>2013</v>
      </c>
      <c r="B183" s="10">
        <v>2</v>
      </c>
      <c r="C183" s="10">
        <v>236.641245832424</v>
      </c>
    </row>
    <row r="184" spans="1:3" x14ac:dyDescent="0.25">
      <c r="A184" s="10">
        <v>2013</v>
      </c>
      <c r="B184" s="10">
        <v>3</v>
      </c>
      <c r="C184" s="10">
        <v>232.34755004056399</v>
      </c>
    </row>
    <row r="185" spans="1:3" x14ac:dyDescent="0.25">
      <c r="A185" s="10">
        <v>2013</v>
      </c>
      <c r="B185" s="10">
        <v>4</v>
      </c>
      <c r="C185" s="10">
        <v>236.63955679685299</v>
      </c>
    </row>
    <row r="186" spans="1:3" x14ac:dyDescent="0.25">
      <c r="A186" s="10">
        <v>2013</v>
      </c>
      <c r="B186" s="10">
        <v>5</v>
      </c>
      <c r="C186" s="10">
        <v>230.889042650384</v>
      </c>
    </row>
    <row r="187" spans="1:3" x14ac:dyDescent="0.25">
      <c r="A187" s="10">
        <v>2013</v>
      </c>
      <c r="B187" s="10">
        <v>6</v>
      </c>
      <c r="C187" s="10">
        <v>238.32492188009499</v>
      </c>
    </row>
    <row r="188" spans="1:3" x14ac:dyDescent="0.25">
      <c r="A188" s="10">
        <v>2013</v>
      </c>
      <c r="B188" s="10">
        <v>7</v>
      </c>
      <c r="C188" s="10">
        <v>239.92454838834001</v>
      </c>
    </row>
    <row r="189" spans="1:3" x14ac:dyDescent="0.25">
      <c r="A189" s="10">
        <v>2013</v>
      </c>
      <c r="B189" s="10">
        <v>8</v>
      </c>
      <c r="C189" s="10">
        <v>234.50585942607299</v>
      </c>
    </row>
    <row r="190" spans="1:3" x14ac:dyDescent="0.25">
      <c r="A190" s="10">
        <v>2013</v>
      </c>
      <c r="B190" s="10">
        <v>9</v>
      </c>
      <c r="C190" s="10">
        <v>237.512001382363</v>
      </c>
    </row>
    <row r="191" spans="1:3" x14ac:dyDescent="0.25">
      <c r="A191" s="10">
        <v>2013</v>
      </c>
      <c r="B191" s="10">
        <v>10</v>
      </c>
      <c r="C191" s="10">
        <v>240.38926310975901</v>
      </c>
    </row>
    <row r="192" spans="1:3" x14ac:dyDescent="0.25">
      <c r="A192" s="10">
        <v>2013</v>
      </c>
      <c r="B192" s="10">
        <v>11</v>
      </c>
      <c r="C192" s="10">
        <v>230.54018056466299</v>
      </c>
    </row>
    <row r="193" spans="1:3" x14ac:dyDescent="0.25">
      <c r="A193" s="10">
        <v>2013</v>
      </c>
      <c r="B193" s="10">
        <v>12</v>
      </c>
      <c r="C193" s="10">
        <v>231.95680853893199</v>
      </c>
    </row>
    <row r="194" spans="1:3" x14ac:dyDescent="0.25">
      <c r="A194" s="10">
        <v>2014</v>
      </c>
      <c r="B194" s="10">
        <v>1</v>
      </c>
      <c r="C194" s="10">
        <v>221.31402910073501</v>
      </c>
    </row>
    <row r="195" spans="1:3" x14ac:dyDescent="0.25">
      <c r="A195" s="10">
        <v>2014</v>
      </c>
      <c r="B195" s="10">
        <v>2</v>
      </c>
      <c r="C195" s="10">
        <v>221.80635811196299</v>
      </c>
    </row>
    <row r="196" spans="1:3" x14ac:dyDescent="0.25">
      <c r="A196" s="10">
        <v>2014</v>
      </c>
      <c r="B196" s="10">
        <v>3</v>
      </c>
      <c r="C196" s="10">
        <v>222.26521564615601</v>
      </c>
    </row>
    <row r="197" spans="1:3" x14ac:dyDescent="0.25">
      <c r="A197" s="10">
        <v>2014</v>
      </c>
      <c r="B197" s="10">
        <v>4</v>
      </c>
      <c r="C197" s="10">
        <v>225.647326015445</v>
      </c>
    </row>
    <row r="198" spans="1:3" x14ac:dyDescent="0.25">
      <c r="A198" s="10">
        <v>2014</v>
      </c>
      <c r="B198" s="10">
        <v>5</v>
      </c>
      <c r="C198" s="10">
        <v>222.47798922894799</v>
      </c>
    </row>
    <row r="199" spans="1:3" x14ac:dyDescent="0.25">
      <c r="A199" s="10">
        <v>2014</v>
      </c>
      <c r="B199" s="10">
        <v>6</v>
      </c>
      <c r="C199" s="10">
        <v>230.798941304073</v>
      </c>
    </row>
    <row r="200" spans="1:3" x14ac:dyDescent="0.25">
      <c r="A200" s="10">
        <v>2014</v>
      </c>
      <c r="B200" s="10">
        <v>7</v>
      </c>
      <c r="C200" s="10">
        <v>218.89184506450599</v>
      </c>
    </row>
    <row r="201" spans="1:3" x14ac:dyDescent="0.25">
      <c r="A201" s="10">
        <v>2014</v>
      </c>
      <c r="B201" s="10">
        <v>8</v>
      </c>
      <c r="C201" s="10">
        <v>219.01401728846301</v>
      </c>
    </row>
    <row r="202" spans="1:3" x14ac:dyDescent="0.25">
      <c r="A202" s="10">
        <v>2014</v>
      </c>
      <c r="B202" s="10">
        <v>9</v>
      </c>
      <c r="C202" s="10">
        <v>221.67829955245401</v>
      </c>
    </row>
    <row r="203" spans="1:3" x14ac:dyDescent="0.25">
      <c r="A203" s="10">
        <v>2014</v>
      </c>
      <c r="B203" s="10">
        <v>10</v>
      </c>
      <c r="C203" s="10">
        <v>216.80752155486499</v>
      </c>
    </row>
    <row r="204" spans="1:3" x14ac:dyDescent="0.25">
      <c r="A204" s="10">
        <v>2014</v>
      </c>
      <c r="B204" s="10">
        <v>11</v>
      </c>
      <c r="C204" s="10">
        <v>237.65631633901199</v>
      </c>
    </row>
    <row r="205" spans="1:3" x14ac:dyDescent="0.25">
      <c r="A205" s="10">
        <v>2014</v>
      </c>
      <c r="B205" s="10">
        <v>12</v>
      </c>
      <c r="C205" s="10">
        <v>213.31593810674099</v>
      </c>
    </row>
    <row r="206" spans="1:3" x14ac:dyDescent="0.25">
      <c r="A206" s="10">
        <v>2015</v>
      </c>
      <c r="B206" s="10">
        <v>1</v>
      </c>
      <c r="C206" s="10">
        <v>229.00953060189499</v>
      </c>
    </row>
    <row r="207" spans="1:3" x14ac:dyDescent="0.25">
      <c r="A207" s="10">
        <v>2015</v>
      </c>
      <c r="B207" s="10">
        <v>2</v>
      </c>
      <c r="C207" s="10">
        <v>230.588624064551</v>
      </c>
    </row>
    <row r="208" spans="1:3" x14ac:dyDescent="0.25">
      <c r="A208" s="10">
        <v>2015</v>
      </c>
      <c r="B208" s="10">
        <v>3</v>
      </c>
      <c r="C208" s="10">
        <v>232.800775061417</v>
      </c>
    </row>
    <row r="209" spans="1:3" x14ac:dyDescent="0.25">
      <c r="A209" s="10">
        <v>2015</v>
      </c>
      <c r="B209" s="10">
        <v>4</v>
      </c>
      <c r="C209" s="10">
        <v>235.000017455907</v>
      </c>
    </row>
    <row r="210" spans="1:3" x14ac:dyDescent="0.25">
      <c r="A210" s="10">
        <v>2015</v>
      </c>
      <c r="B210" s="10">
        <v>5</v>
      </c>
      <c r="C210" s="10">
        <v>235.77326919443999</v>
      </c>
    </row>
    <row r="211" spans="1:3" x14ac:dyDescent="0.25">
      <c r="A211" s="10">
        <v>2015</v>
      </c>
      <c r="B211" s="10">
        <v>6</v>
      </c>
      <c r="C211" s="10">
        <v>238.28771744819201</v>
      </c>
    </row>
    <row r="212" spans="1:3" x14ac:dyDescent="0.25">
      <c r="A212" s="10">
        <v>2015</v>
      </c>
      <c r="B212" s="10">
        <v>7</v>
      </c>
      <c r="C212" s="10">
        <v>217.694927679008</v>
      </c>
    </row>
    <row r="213" spans="1:3" x14ac:dyDescent="0.25">
      <c r="A213" s="10">
        <v>2015</v>
      </c>
      <c r="B213" s="10">
        <v>8</v>
      </c>
      <c r="C213" s="10">
        <v>228.921215674904</v>
      </c>
    </row>
    <row r="214" spans="1:3" x14ac:dyDescent="0.25">
      <c r="A214" s="10">
        <v>2015</v>
      </c>
      <c r="B214" s="10">
        <v>9</v>
      </c>
      <c r="C214" s="10">
        <v>233.509126951273</v>
      </c>
    </row>
    <row r="215" spans="1:3" x14ac:dyDescent="0.25">
      <c r="A215" s="10">
        <v>2015</v>
      </c>
      <c r="B215" s="10">
        <v>10</v>
      </c>
      <c r="C215" s="10">
        <v>220.51814819437499</v>
      </c>
    </row>
    <row r="216" spans="1:3" x14ac:dyDescent="0.25">
      <c r="A216" s="10">
        <v>2015</v>
      </c>
      <c r="B216" s="10">
        <v>11</v>
      </c>
      <c r="C216" s="10">
        <v>219.92885864926399</v>
      </c>
    </row>
    <row r="217" spans="1:3" x14ac:dyDescent="0.25">
      <c r="A217" s="10">
        <v>2015</v>
      </c>
      <c r="B217" s="10">
        <v>12</v>
      </c>
      <c r="C217" s="10">
        <v>201.328621533221</v>
      </c>
    </row>
    <row r="218" spans="1:3" x14ac:dyDescent="0.25">
      <c r="A218" s="10">
        <v>2016</v>
      </c>
      <c r="B218" s="10">
        <v>1</v>
      </c>
      <c r="C218" s="10">
        <v>223.69779187227601</v>
      </c>
    </row>
    <row r="219" spans="1:3" x14ac:dyDescent="0.25">
      <c r="A219" s="10">
        <v>2016</v>
      </c>
      <c r="B219" s="10">
        <v>2</v>
      </c>
      <c r="C219" s="10">
        <v>222.317256373818</v>
      </c>
    </row>
    <row r="220" spans="1:3" x14ac:dyDescent="0.25">
      <c r="A220" s="10">
        <v>2016</v>
      </c>
      <c r="B220" s="10">
        <v>3</v>
      </c>
      <c r="C220" s="10">
        <v>219.64945480105399</v>
      </c>
    </row>
    <row r="221" spans="1:3" x14ac:dyDescent="0.25">
      <c r="A221" s="10">
        <v>2016</v>
      </c>
      <c r="B221" s="10">
        <v>4</v>
      </c>
      <c r="C221" s="10">
        <v>213.921864647761</v>
      </c>
    </row>
    <row r="222" spans="1:3" x14ac:dyDescent="0.25">
      <c r="A222" s="10">
        <v>2016</v>
      </c>
      <c r="B222" s="10">
        <v>5</v>
      </c>
      <c r="C222" s="10">
        <v>223.99538615749901</v>
      </c>
    </row>
    <row r="223" spans="1:3" x14ac:dyDescent="0.25">
      <c r="A223" s="10">
        <v>2016</v>
      </c>
      <c r="B223" s="10">
        <v>6</v>
      </c>
      <c r="C223" s="10">
        <v>210.07959386537701</v>
      </c>
    </row>
    <row r="224" spans="1:3" x14ac:dyDescent="0.25">
      <c r="A224" s="10">
        <v>2016</v>
      </c>
      <c r="B224" s="10">
        <v>7</v>
      </c>
      <c r="C224" s="10">
        <v>212.39727030832</v>
      </c>
    </row>
    <row r="225" spans="1:3" x14ac:dyDescent="0.25">
      <c r="A225" s="10">
        <v>2016</v>
      </c>
      <c r="B225" s="10">
        <v>8</v>
      </c>
      <c r="C225" s="10">
        <v>221.060794988591</v>
      </c>
    </row>
    <row r="226" spans="1:3" x14ac:dyDescent="0.25">
      <c r="A226" s="10">
        <v>2016</v>
      </c>
      <c r="B226" s="10">
        <v>9</v>
      </c>
      <c r="C226" s="10">
        <v>215.703922339689</v>
      </c>
    </row>
    <row r="227" spans="1:3" x14ac:dyDescent="0.25">
      <c r="A227" s="10">
        <v>2016</v>
      </c>
      <c r="B227" s="10">
        <v>10</v>
      </c>
      <c r="C227" s="10">
        <v>219.89743645462099</v>
      </c>
    </row>
    <row r="228" spans="1:3" x14ac:dyDescent="0.25">
      <c r="A228" s="10">
        <v>2016</v>
      </c>
      <c r="B228" s="10">
        <v>11</v>
      </c>
      <c r="C228" s="10">
        <v>228.21151959469799</v>
      </c>
    </row>
    <row r="229" spans="1:3" x14ac:dyDescent="0.25">
      <c r="A229" s="10">
        <v>2016</v>
      </c>
      <c r="B229" s="10">
        <v>12</v>
      </c>
      <c r="C229" s="10">
        <v>231.785327990436</v>
      </c>
    </row>
    <row r="230" spans="1:3" x14ac:dyDescent="0.25">
      <c r="A230" s="10">
        <v>2017</v>
      </c>
      <c r="B230" s="10">
        <v>1</v>
      </c>
      <c r="C230" s="10">
        <v>235.03499606526</v>
      </c>
    </row>
    <row r="231" spans="1:3" x14ac:dyDescent="0.25">
      <c r="A231" s="10">
        <v>2017</v>
      </c>
      <c r="B231" s="10">
        <v>2</v>
      </c>
      <c r="C231" s="10">
        <v>222.90172745781101</v>
      </c>
    </row>
    <row r="232" spans="1:3" x14ac:dyDescent="0.25">
      <c r="A232" s="10">
        <v>2017</v>
      </c>
      <c r="B232" s="10">
        <v>3</v>
      </c>
      <c r="C232" s="10">
        <v>235.744989383681</v>
      </c>
    </row>
    <row r="233" spans="1:3" x14ac:dyDescent="0.25">
      <c r="A233" s="10">
        <v>2017</v>
      </c>
      <c r="B233" s="10">
        <v>4</v>
      </c>
      <c r="C233" s="10">
        <v>233.062101151165</v>
      </c>
    </row>
    <row r="234" spans="1:3" x14ac:dyDescent="0.25">
      <c r="A234" s="10">
        <v>2017</v>
      </c>
      <c r="B234" s="10">
        <v>5</v>
      </c>
      <c r="C234" s="10">
        <v>233.29163454510601</v>
      </c>
    </row>
    <row r="235" spans="1:3" x14ac:dyDescent="0.25">
      <c r="A235" s="10">
        <v>2017</v>
      </c>
      <c r="B235" s="10">
        <v>6</v>
      </c>
      <c r="C235" s="10">
        <v>235.00849432239801</v>
      </c>
    </row>
    <row r="236" spans="1:3" x14ac:dyDescent="0.25">
      <c r="A236" s="10">
        <v>2017</v>
      </c>
      <c r="B236" s="10">
        <v>7</v>
      </c>
      <c r="C236" s="10">
        <v>236.34183317657701</v>
      </c>
    </row>
    <row r="237" spans="1:3" x14ac:dyDescent="0.25">
      <c r="A237" s="10">
        <v>2017</v>
      </c>
      <c r="B237" s="10">
        <v>8</v>
      </c>
      <c r="C237" s="10">
        <v>233.836538501533</v>
      </c>
    </row>
    <row r="238" spans="1:3" x14ac:dyDescent="0.25">
      <c r="A238" s="10">
        <v>2017</v>
      </c>
      <c r="B238" s="10">
        <v>9</v>
      </c>
      <c r="C238" s="10">
        <v>239.68184511893301</v>
      </c>
    </row>
    <row r="239" spans="1:3" x14ac:dyDescent="0.25">
      <c r="A239" s="10">
        <v>2017</v>
      </c>
      <c r="B239" s="10">
        <v>10</v>
      </c>
      <c r="C239" s="10">
        <v>244.64344656558001</v>
      </c>
    </row>
    <row r="240" spans="1:3" x14ac:dyDescent="0.25">
      <c r="A240" s="10">
        <v>2017</v>
      </c>
      <c r="B240" s="10">
        <v>11</v>
      </c>
      <c r="C240" s="10">
        <v>248.70322515891601</v>
      </c>
    </row>
    <row r="241" spans="1:3" x14ac:dyDescent="0.25">
      <c r="A241" s="10">
        <v>2017</v>
      </c>
      <c r="B241" s="10">
        <v>12</v>
      </c>
      <c r="C241" s="10">
        <v>248.812497189667</v>
      </c>
    </row>
    <row r="242" spans="1:3" x14ac:dyDescent="0.25">
      <c r="A242" s="10">
        <v>2018</v>
      </c>
      <c r="B242" s="10">
        <v>1</v>
      </c>
      <c r="C242" s="10">
        <v>252.15492503662799</v>
      </c>
    </row>
    <row r="243" spans="1:3" x14ac:dyDescent="0.25">
      <c r="A243" s="10">
        <v>2018</v>
      </c>
      <c r="B243" s="10">
        <v>2</v>
      </c>
      <c r="C243" s="10">
        <v>255.55257422983701</v>
      </c>
    </row>
    <row r="244" spans="1:3" x14ac:dyDescent="0.25">
      <c r="A244" s="10">
        <v>2018</v>
      </c>
      <c r="B244" s="10">
        <v>3</v>
      </c>
      <c r="C244" s="10">
        <v>260.16797632091999</v>
      </c>
    </row>
    <row r="245" spans="1:3" x14ac:dyDescent="0.25">
      <c r="A245" s="10">
        <v>2018</v>
      </c>
      <c r="B245" s="10">
        <v>4</v>
      </c>
      <c r="C245" s="10">
        <v>259.33984100900898</v>
      </c>
    </row>
    <row r="246" spans="1:3" x14ac:dyDescent="0.25">
      <c r="A246" s="10">
        <v>2018</v>
      </c>
      <c r="B246" s="10">
        <v>5</v>
      </c>
      <c r="C246" s="10">
        <v>252.708916322981</v>
      </c>
    </row>
    <row r="247" spans="1:3" x14ac:dyDescent="0.25">
      <c r="A247" s="10">
        <v>2018</v>
      </c>
      <c r="B247" s="10">
        <v>6</v>
      </c>
      <c r="C247" s="10">
        <v>258.888208207312</v>
      </c>
    </row>
    <row r="248" spans="1:3" x14ac:dyDescent="0.25">
      <c r="A248" s="10">
        <v>2018</v>
      </c>
      <c r="B248" s="10">
        <v>7</v>
      </c>
      <c r="C248" s="10">
        <v>256.04378659295799</v>
      </c>
    </row>
    <row r="249" spans="1:3" x14ac:dyDescent="0.25">
      <c r="A249" s="10">
        <v>2018</v>
      </c>
      <c r="B249" s="10">
        <v>8</v>
      </c>
      <c r="C249" s="10">
        <v>259.14887474277998</v>
      </c>
    </row>
    <row r="250" spans="1:3" x14ac:dyDescent="0.25">
      <c r="A250" s="10">
        <v>2018</v>
      </c>
      <c r="B250" s="10">
        <v>9</v>
      </c>
      <c r="C250" s="10">
        <v>246.93114667319301</v>
      </c>
    </row>
    <row r="251" spans="1:3" x14ac:dyDescent="0.25">
      <c r="A251" s="10">
        <v>2018</v>
      </c>
      <c r="B251" s="10">
        <v>10</v>
      </c>
      <c r="C251" s="10">
        <v>256.478491117163</v>
      </c>
    </row>
    <row r="252" spans="1:3" x14ac:dyDescent="0.25">
      <c r="A252" s="10">
        <v>2018</v>
      </c>
      <c r="B252" s="10">
        <v>11</v>
      </c>
      <c r="C252" s="10">
        <v>250.19608925935199</v>
      </c>
    </row>
    <row r="253" spans="1:3" x14ac:dyDescent="0.25">
      <c r="A253" s="10">
        <v>2018</v>
      </c>
      <c r="B253" s="10">
        <v>12</v>
      </c>
      <c r="C253" s="10">
        <v>252.56806961695099</v>
      </c>
    </row>
    <row r="254" spans="1:3" x14ac:dyDescent="0.25">
      <c r="A254" s="10">
        <v>2019</v>
      </c>
      <c r="B254" s="10">
        <v>1</v>
      </c>
      <c r="C254" s="10">
        <v>256.00177575394702</v>
      </c>
    </row>
    <row r="255" spans="1:3" x14ac:dyDescent="0.25">
      <c r="A255" s="10">
        <v>2019</v>
      </c>
      <c r="B255" s="10">
        <v>2</v>
      </c>
      <c r="C255" s="10">
        <v>251.16372485051201</v>
      </c>
    </row>
    <row r="256" spans="1:3" x14ac:dyDescent="0.25">
      <c r="A256" s="10">
        <v>2019</v>
      </c>
      <c r="B256" s="10">
        <v>3</v>
      </c>
      <c r="C256" s="10">
        <v>233.847235008106</v>
      </c>
    </row>
    <row r="257" spans="1:3" x14ac:dyDescent="0.25">
      <c r="A257" s="10">
        <v>2019</v>
      </c>
      <c r="B257" s="10">
        <v>4</v>
      </c>
      <c r="C257" s="10">
        <v>247.53846204987099</v>
      </c>
    </row>
    <row r="258" spans="1:3" x14ac:dyDescent="0.25">
      <c r="A258" s="10">
        <v>2019</v>
      </c>
      <c r="B258" s="10">
        <v>5</v>
      </c>
      <c r="C258" s="10">
        <v>255.75753242846901</v>
      </c>
    </row>
    <row r="259" spans="1:3" x14ac:dyDescent="0.25">
      <c r="A259" s="10">
        <v>2019</v>
      </c>
      <c r="B259" s="10">
        <v>6</v>
      </c>
      <c r="C259" s="10">
        <v>255.91667054439901</v>
      </c>
    </row>
    <row r="260" spans="1:3" x14ac:dyDescent="0.25">
      <c r="A260" s="10">
        <v>2019</v>
      </c>
      <c r="B260" s="10">
        <v>7</v>
      </c>
      <c r="C260" s="10">
        <v>271.68759000257302</v>
      </c>
    </row>
    <row r="261" spans="1:3" x14ac:dyDescent="0.25">
      <c r="A261" s="10">
        <v>2019</v>
      </c>
      <c r="B261" s="10">
        <v>8</v>
      </c>
      <c r="C261" s="10">
        <v>262.22012942695699</v>
      </c>
    </row>
    <row r="262" spans="1:3" x14ac:dyDescent="0.25">
      <c r="A262" s="10">
        <v>2019</v>
      </c>
      <c r="B262" s="10">
        <v>9</v>
      </c>
      <c r="C262" s="10">
        <v>275.22790755808597</v>
      </c>
    </row>
    <row r="263" spans="1:3" x14ac:dyDescent="0.25">
      <c r="A263" s="10">
        <v>2019</v>
      </c>
      <c r="B263" s="10">
        <v>10</v>
      </c>
      <c r="C263" s="10">
        <v>274.328311928711</v>
      </c>
    </row>
    <row r="264" spans="1:3" x14ac:dyDescent="0.25">
      <c r="A264" s="10">
        <v>2019</v>
      </c>
      <c r="B264" s="10">
        <v>11</v>
      </c>
      <c r="C264" s="10">
        <v>273.30307231718803</v>
      </c>
    </row>
    <row r="265" spans="1:3" x14ac:dyDescent="0.25">
      <c r="A265" s="10">
        <v>2019</v>
      </c>
      <c r="B265" s="10">
        <v>12</v>
      </c>
      <c r="C265" s="10">
        <v>273.99191505426501</v>
      </c>
    </row>
    <row r="266" spans="1:3" x14ac:dyDescent="0.25">
      <c r="A266" s="10">
        <v>2020</v>
      </c>
      <c r="B266" s="10">
        <v>1</v>
      </c>
      <c r="C266" s="10">
        <v>261.82258556905703</v>
      </c>
    </row>
    <row r="267" spans="1:3" x14ac:dyDescent="0.25">
      <c r="A267" s="10">
        <v>2020</v>
      </c>
      <c r="B267" s="10">
        <v>2</v>
      </c>
      <c r="C267" s="10">
        <v>257.12640596720399</v>
      </c>
    </row>
    <row r="268" spans="1:3" x14ac:dyDescent="0.25">
      <c r="A268" s="10">
        <v>2020</v>
      </c>
      <c r="B268" s="10">
        <v>3</v>
      </c>
      <c r="C268" s="10">
        <v>240.642042210554</v>
      </c>
    </row>
    <row r="269" spans="1:3" x14ac:dyDescent="0.25">
      <c r="A269" s="10">
        <v>2020</v>
      </c>
      <c r="B269" s="10">
        <v>4</v>
      </c>
      <c r="C269" s="10">
        <v>269.69309583217102</v>
      </c>
    </row>
    <row r="270" spans="1:3" x14ac:dyDescent="0.25">
      <c r="A270" s="10">
        <v>2020</v>
      </c>
      <c r="B270" s="10">
        <v>5</v>
      </c>
      <c r="C270" s="10">
        <v>266.81305731402398</v>
      </c>
    </row>
    <row r="271" spans="1:3" x14ac:dyDescent="0.25">
      <c r="A271" s="10">
        <v>2020</v>
      </c>
      <c r="B271" s="10">
        <v>6</v>
      </c>
      <c r="C271" s="10">
        <v>268.37027125918303</v>
      </c>
    </row>
    <row r="272" spans="1:3" x14ac:dyDescent="0.25">
      <c r="A272" s="10">
        <v>2020</v>
      </c>
      <c r="B272" s="10">
        <v>7</v>
      </c>
      <c r="C272" s="10">
        <v>261.50352622992398</v>
      </c>
    </row>
    <row r="273" spans="1:3" x14ac:dyDescent="0.25">
      <c r="A273" s="10">
        <v>2020</v>
      </c>
      <c r="B273" s="10">
        <v>8</v>
      </c>
      <c r="C273" s="10">
        <v>263.43590534493597</v>
      </c>
    </row>
    <row r="274" spans="1:3" x14ac:dyDescent="0.25">
      <c r="A274" s="10">
        <v>2020</v>
      </c>
      <c r="B274" s="10">
        <v>9</v>
      </c>
      <c r="C274" s="10">
        <v>268.94242225371102</v>
      </c>
    </row>
    <row r="275" spans="1:3" x14ac:dyDescent="0.25">
      <c r="A275" s="10">
        <v>2020</v>
      </c>
      <c r="B275" s="10">
        <v>10</v>
      </c>
      <c r="C275" s="10">
        <v>270.49613254357803</v>
      </c>
    </row>
    <row r="276" spans="1:3" x14ac:dyDescent="0.25">
      <c r="A276" s="10">
        <v>2020</v>
      </c>
      <c r="B276" s="10">
        <v>11</v>
      </c>
      <c r="C276" s="10">
        <v>280.80249264310203</v>
      </c>
    </row>
    <row r="277" spans="1:3" x14ac:dyDescent="0.25">
      <c r="A277" s="10">
        <v>2020</v>
      </c>
      <c r="B277" s="10">
        <v>12</v>
      </c>
      <c r="C277" s="10">
        <v>255.66872732496699</v>
      </c>
    </row>
    <row r="278" spans="1:3" x14ac:dyDescent="0.25">
      <c r="A278" s="10">
        <v>2021</v>
      </c>
      <c r="B278" s="10">
        <v>1</v>
      </c>
      <c r="C278" s="10">
        <v>249.99187016819801</v>
      </c>
    </row>
    <row r="279" spans="1:3" x14ac:dyDescent="0.25">
      <c r="A279" s="10">
        <v>2021</v>
      </c>
      <c r="B279" s="10">
        <v>2</v>
      </c>
      <c r="C279" s="10">
        <v>254.01670139186001</v>
      </c>
    </row>
    <row r="280" spans="1:3" x14ac:dyDescent="0.25">
      <c r="A280" s="10">
        <v>2021</v>
      </c>
      <c r="B280" s="10">
        <v>3</v>
      </c>
      <c r="C280" s="10">
        <v>256.09615841528199</v>
      </c>
    </row>
    <row r="281" spans="1:3" x14ac:dyDescent="0.25">
      <c r="A281" s="10">
        <v>2021</v>
      </c>
      <c r="B281" s="10">
        <v>4</v>
      </c>
      <c r="C281" s="10">
        <v>255.749924313359</v>
      </c>
    </row>
    <row r="282" spans="1:3" x14ac:dyDescent="0.25">
      <c r="A282" s="10">
        <v>2021</v>
      </c>
      <c r="B282" s="10">
        <v>5</v>
      </c>
      <c r="C282" s="10">
        <v>229.383352553983</v>
      </c>
    </row>
    <row r="283" spans="1:3" x14ac:dyDescent="0.25">
      <c r="A283" s="10">
        <v>2021</v>
      </c>
      <c r="B283" s="10">
        <v>6</v>
      </c>
      <c r="C283" s="10">
        <v>248.30872366171101</v>
      </c>
    </row>
    <row r="284" spans="1:3" x14ac:dyDescent="0.25">
      <c r="A284" s="10">
        <v>2021</v>
      </c>
      <c r="B284" s="10">
        <v>7</v>
      </c>
      <c r="C284" s="10">
        <v>242.50205523927599</v>
      </c>
    </row>
    <row r="285" spans="1:3" x14ac:dyDescent="0.25">
      <c r="A285" s="10">
        <v>2021</v>
      </c>
      <c r="B285" s="10">
        <v>8</v>
      </c>
      <c r="C285" s="10">
        <v>254.542109335276</v>
      </c>
    </row>
    <row r="286" spans="1:3" x14ac:dyDescent="0.25">
      <c r="A286" s="10">
        <v>2021</v>
      </c>
      <c r="B286" s="10">
        <v>9</v>
      </c>
      <c r="C286" s="10">
        <v>244.84468979393799</v>
      </c>
    </row>
    <row r="287" spans="1:3" x14ac:dyDescent="0.25">
      <c r="A287" s="10">
        <v>2021</v>
      </c>
      <c r="B287" s="10">
        <v>10</v>
      </c>
      <c r="C287" s="10">
        <v>248.830579660936</v>
      </c>
    </row>
    <row r="288" spans="1:3" x14ac:dyDescent="0.25">
      <c r="A288" s="10">
        <v>2021</v>
      </c>
      <c r="B288" s="10">
        <v>11</v>
      </c>
      <c r="C288" s="10">
        <v>248.82412237954</v>
      </c>
    </row>
    <row r="289" spans="1:3" x14ac:dyDescent="0.25">
      <c r="A289" s="10">
        <v>2021</v>
      </c>
      <c r="B289" s="10">
        <v>12</v>
      </c>
      <c r="C289" s="10">
        <v>248.62374239827099</v>
      </c>
    </row>
    <row r="290" spans="1:3" x14ac:dyDescent="0.25">
      <c r="A290" s="10">
        <v>2022</v>
      </c>
      <c r="B290" s="10">
        <v>1</v>
      </c>
      <c r="C290" s="10">
        <v>244.63363632786201</v>
      </c>
    </row>
    <row r="291" spans="1:3" x14ac:dyDescent="0.25">
      <c r="A291" s="10">
        <v>2022</v>
      </c>
      <c r="B291" s="10">
        <v>2</v>
      </c>
      <c r="C291" s="10">
        <v>261.06545311798197</v>
      </c>
    </row>
    <row r="292" spans="1:3" x14ac:dyDescent="0.25">
      <c r="A292" s="10">
        <v>2022</v>
      </c>
      <c r="B292" s="10">
        <v>3</v>
      </c>
      <c r="C292" s="10">
        <v>254.236885122014</v>
      </c>
    </row>
    <row r="293" spans="1:3" x14ac:dyDescent="0.25">
      <c r="A293" s="10">
        <v>2022</v>
      </c>
      <c r="B293" s="10">
        <v>4</v>
      </c>
      <c r="C293" s="10">
        <v>259.58142963267801</v>
      </c>
    </row>
    <row r="294" spans="1:3" x14ac:dyDescent="0.25">
      <c r="A294" s="10">
        <v>2022</v>
      </c>
      <c r="B294" s="10">
        <v>5</v>
      </c>
      <c r="C294" s="10">
        <v>269.24271976639801</v>
      </c>
    </row>
    <row r="295" spans="1:3" x14ac:dyDescent="0.25">
      <c r="A295" s="10">
        <v>2022</v>
      </c>
      <c r="B295" s="10">
        <v>6</v>
      </c>
      <c r="C295" s="10">
        <v>261.36770318286602</v>
      </c>
    </row>
    <row r="296" spans="1:3" x14ac:dyDescent="0.25">
      <c r="A296" s="10">
        <v>2022</v>
      </c>
      <c r="B296" s="10">
        <v>7</v>
      </c>
      <c r="C296" s="10">
        <v>259.96389222074401</v>
      </c>
    </row>
    <row r="297" spans="1:3" x14ac:dyDescent="0.25">
      <c r="A297" s="10">
        <v>2022</v>
      </c>
      <c r="B297" s="10">
        <v>8</v>
      </c>
      <c r="C297" s="10">
        <v>269.56311147748198</v>
      </c>
    </row>
    <row r="298" spans="1:3" x14ac:dyDescent="0.25">
      <c r="A298" s="10">
        <v>2022</v>
      </c>
      <c r="B298" s="10">
        <v>9</v>
      </c>
      <c r="C298" s="10">
        <v>268.50292258578202</v>
      </c>
    </row>
    <row r="299" spans="1:3" x14ac:dyDescent="0.25">
      <c r="A299" s="10">
        <v>2022</v>
      </c>
      <c r="B299" s="10">
        <v>10</v>
      </c>
      <c r="C299" s="10">
        <v>260.46425174970602</v>
      </c>
    </row>
    <row r="300" spans="1:3" x14ac:dyDescent="0.25">
      <c r="A300" s="10">
        <v>2022</v>
      </c>
      <c r="B300" s="10">
        <v>11</v>
      </c>
      <c r="C300" s="10">
        <v>270.97258904713902</v>
      </c>
    </row>
    <row r="301" spans="1:3" x14ac:dyDescent="0.25">
      <c r="A301" s="10">
        <v>2022</v>
      </c>
      <c r="B301" s="10">
        <v>12</v>
      </c>
      <c r="C301" s="10">
        <v>279.27397042669202</v>
      </c>
    </row>
    <row r="302" spans="1:3" x14ac:dyDescent="0.25">
      <c r="A302" s="10">
        <v>2023</v>
      </c>
      <c r="B302" s="10">
        <v>1</v>
      </c>
      <c r="C302" s="10">
        <v>284.89981853438098</v>
      </c>
    </row>
    <row r="303" spans="1:3" x14ac:dyDescent="0.25">
      <c r="A303" s="10">
        <v>2023</v>
      </c>
      <c r="B303" s="10">
        <v>2</v>
      </c>
      <c r="C303" s="10">
        <v>263.64963976279302</v>
      </c>
    </row>
    <row r="304" spans="1:3" x14ac:dyDescent="0.25">
      <c r="A304" s="10">
        <v>2023</v>
      </c>
      <c r="B304" s="10">
        <v>3</v>
      </c>
      <c r="C304" s="10">
        <v>285.98828041405699</v>
      </c>
    </row>
    <row r="305" spans="1:3" x14ac:dyDescent="0.25">
      <c r="A305" s="10">
        <v>2023</v>
      </c>
      <c r="B305" s="10">
        <v>4</v>
      </c>
      <c r="C305" s="10">
        <v>289.93050803494202</v>
      </c>
    </row>
    <row r="306" spans="1:3" x14ac:dyDescent="0.25">
      <c r="A306" s="10">
        <v>2023</v>
      </c>
      <c r="B306" s="10">
        <v>5</v>
      </c>
      <c r="C306" s="10">
        <v>280.10066313507599</v>
      </c>
    </row>
    <row r="307" spans="1:3" x14ac:dyDescent="0.25">
      <c r="A307" s="10">
        <v>2023</v>
      </c>
      <c r="B307" s="10">
        <v>6</v>
      </c>
      <c r="C307" s="10">
        <v>292.06142060071699</v>
      </c>
    </row>
    <row r="308" spans="1:3" x14ac:dyDescent="0.25">
      <c r="A308" s="10">
        <v>2023</v>
      </c>
      <c r="B308" s="10">
        <v>7</v>
      </c>
      <c r="C308" s="10">
        <v>287.30888882602699</v>
      </c>
    </row>
    <row r="309" spans="1:3" x14ac:dyDescent="0.25">
      <c r="A309" s="10">
        <v>2023</v>
      </c>
      <c r="B309" s="10">
        <v>8</v>
      </c>
      <c r="C309" s="10">
        <v>258.38586371845997</v>
      </c>
    </row>
    <row r="310" spans="1:3" x14ac:dyDescent="0.25">
      <c r="A310" s="10">
        <v>2023</v>
      </c>
      <c r="B310" s="10">
        <v>9</v>
      </c>
      <c r="C310" s="10">
        <v>263.84144953478301</v>
      </c>
    </row>
    <row r="311" spans="1:3" x14ac:dyDescent="0.25">
      <c r="A311" s="10">
        <v>2023</v>
      </c>
      <c r="B311" s="10">
        <v>10</v>
      </c>
      <c r="C311" s="10">
        <v>255.84609449079599</v>
      </c>
    </row>
    <row r="312" spans="1:3" x14ac:dyDescent="0.25">
      <c r="A312" s="10">
        <v>2023</v>
      </c>
      <c r="B312" s="10">
        <v>11</v>
      </c>
      <c r="C312" s="10">
        <v>282.33101247622199</v>
      </c>
    </row>
    <row r="313" spans="1:3" x14ac:dyDescent="0.25">
      <c r="A313" s="10">
        <v>2023</v>
      </c>
      <c r="B313" s="10">
        <v>12</v>
      </c>
      <c r="C313" s="10">
        <v>251.26283098454499</v>
      </c>
    </row>
    <row r="314" spans="1:3" x14ac:dyDescent="0.25">
      <c r="A314" s="10">
        <v>2024</v>
      </c>
      <c r="B314" s="10">
        <v>1</v>
      </c>
      <c r="C314" s="10">
        <v>269.65748137252501</v>
      </c>
    </row>
    <row r="315" spans="1:3" x14ac:dyDescent="0.25">
      <c r="A315" s="10">
        <v>2024</v>
      </c>
      <c r="B315" s="10">
        <v>2</v>
      </c>
      <c r="C315" s="10">
        <v>259.02154966995101</v>
      </c>
    </row>
    <row r="316" spans="1:3" x14ac:dyDescent="0.25">
      <c r="A316" s="10">
        <v>2024</v>
      </c>
      <c r="B316" s="10">
        <v>3</v>
      </c>
      <c r="C316" s="10">
        <v>255.64045838718599</v>
      </c>
    </row>
    <row r="317" spans="1:3" x14ac:dyDescent="0.25">
      <c r="A317" s="10">
        <v>2024</v>
      </c>
      <c r="B317" s="10">
        <v>4</v>
      </c>
      <c r="C317" s="10">
        <v>246.36951855840101</v>
      </c>
    </row>
    <row r="318" spans="1:3" x14ac:dyDescent="0.25">
      <c r="A318" s="10">
        <v>2024</v>
      </c>
      <c r="B318" s="10">
        <v>5</v>
      </c>
      <c r="C318" s="10">
        <v>258.24856038080497</v>
      </c>
    </row>
    <row r="319" spans="1:3" x14ac:dyDescent="0.25">
      <c r="A319" s="10">
        <v>2024</v>
      </c>
      <c r="B319" s="10">
        <v>6</v>
      </c>
      <c r="C319" s="10">
        <v>243.610241016488</v>
      </c>
    </row>
    <row r="320" spans="1:3" x14ac:dyDescent="0.25">
      <c r="A320" s="10">
        <v>2024</v>
      </c>
      <c r="B320" s="10">
        <v>7</v>
      </c>
      <c r="C320" s="10">
        <v>267.65354845180502</v>
      </c>
    </row>
    <row r="321" spans="1:3" x14ac:dyDescent="0.25">
      <c r="A321" s="10">
        <v>2024</v>
      </c>
      <c r="B321" s="10">
        <v>8</v>
      </c>
      <c r="C321" s="10">
        <v>267.52120062237299</v>
      </c>
    </row>
    <row r="322" spans="1:3" x14ac:dyDescent="0.25">
      <c r="A322" s="10">
        <v>2024</v>
      </c>
      <c r="B322" s="10">
        <v>9</v>
      </c>
      <c r="C322" s="10">
        <v>275.99544050489499</v>
      </c>
    </row>
    <row r="323" spans="1:3" x14ac:dyDescent="0.25">
      <c r="A323" s="10">
        <v>2024</v>
      </c>
      <c r="B323" s="10">
        <v>10</v>
      </c>
      <c r="C323" s="10">
        <v>278.62607016096001</v>
      </c>
    </row>
    <row r="324" spans="1:3" x14ac:dyDescent="0.25">
      <c r="A324" s="10">
        <v>2024</v>
      </c>
      <c r="B324" s="10">
        <v>11</v>
      </c>
      <c r="C324" s="10">
        <v>265.89267754969001</v>
      </c>
    </row>
    <row r="325" spans="1:3" x14ac:dyDescent="0.25">
      <c r="A325" s="10">
        <v>2024</v>
      </c>
      <c r="B325" s="10">
        <v>12</v>
      </c>
      <c r="C325" s="10">
        <v>278.239865961318</v>
      </c>
    </row>
    <row r="326" spans="1:3" x14ac:dyDescent="0.25">
      <c r="A326" s="10">
        <v>2025</v>
      </c>
      <c r="B326" s="10">
        <v>1</v>
      </c>
      <c r="C326" s="10">
        <v>263.89378391924998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C37E-2ABE-4B2F-83FC-711299C967AC}">
  <dimension ref="A1:G330"/>
  <sheetViews>
    <sheetView workbookViewId="0">
      <selection activeCell="G2" sqref="G2:G330"/>
    </sheetView>
  </sheetViews>
  <sheetFormatPr baseColWidth="10" defaultRowHeight="15" x14ac:dyDescent="0.25"/>
  <sheetData>
    <row r="1" spans="1:7" ht="42.75" x14ac:dyDescent="0.25">
      <c r="A1" s="9" t="s">
        <v>30</v>
      </c>
      <c r="B1" s="9" t="s">
        <v>31</v>
      </c>
      <c r="C1" s="9" t="s">
        <v>32</v>
      </c>
      <c r="E1" s="9" t="s">
        <v>30</v>
      </c>
      <c r="F1" s="9" t="s">
        <v>31</v>
      </c>
      <c r="G1" s="9" t="s">
        <v>32</v>
      </c>
    </row>
    <row r="2" spans="1:7" x14ac:dyDescent="0.25">
      <c r="A2" s="10">
        <v>1998</v>
      </c>
      <c r="B2" s="10">
        <v>1</v>
      </c>
      <c r="C2" s="10">
        <v>209.11797146659299</v>
      </c>
      <c r="E2" s="10">
        <v>1998</v>
      </c>
      <c r="F2" s="10">
        <v>1</v>
      </c>
      <c r="G2" s="10">
        <v>209.07097017560699</v>
      </c>
    </row>
    <row r="3" spans="1:7" x14ac:dyDescent="0.25">
      <c r="A3" s="10">
        <v>1998</v>
      </c>
      <c r="B3" s="10">
        <v>2</v>
      </c>
      <c r="C3" s="10">
        <v>206.23177763135999</v>
      </c>
      <c r="E3" s="10">
        <v>1998</v>
      </c>
      <c r="F3" s="10">
        <v>2</v>
      </c>
      <c r="G3" s="10">
        <v>206.270505890034</v>
      </c>
    </row>
    <row r="4" spans="1:7" x14ac:dyDescent="0.25">
      <c r="A4" s="10">
        <v>1998</v>
      </c>
      <c r="B4" s="10">
        <v>3</v>
      </c>
      <c r="C4" s="10">
        <v>205.45722653025999</v>
      </c>
      <c r="E4" s="10">
        <v>1998</v>
      </c>
      <c r="F4" s="10">
        <v>3</v>
      </c>
      <c r="G4" s="10">
        <v>205.56682951843101</v>
      </c>
    </row>
    <row r="5" spans="1:7" x14ac:dyDescent="0.25">
      <c r="A5" s="10">
        <v>1998</v>
      </c>
      <c r="B5" s="10">
        <v>4</v>
      </c>
      <c r="C5" s="10">
        <v>208.21869028792099</v>
      </c>
      <c r="E5" s="10">
        <v>1998</v>
      </c>
      <c r="F5" s="10">
        <v>4</v>
      </c>
      <c r="G5" s="10">
        <v>208.11787205278699</v>
      </c>
    </row>
    <row r="6" spans="1:7" x14ac:dyDescent="0.25">
      <c r="A6" s="10">
        <v>1998</v>
      </c>
      <c r="B6" s="10">
        <v>5</v>
      </c>
      <c r="C6" s="10">
        <v>206.79789007937401</v>
      </c>
      <c r="E6" s="10">
        <v>1998</v>
      </c>
      <c r="F6" s="10">
        <v>5</v>
      </c>
      <c r="G6" s="10">
        <v>206.90712178768601</v>
      </c>
    </row>
    <row r="7" spans="1:7" x14ac:dyDescent="0.25">
      <c r="A7" s="10">
        <v>1998</v>
      </c>
      <c r="B7" s="10">
        <v>6</v>
      </c>
      <c r="C7" s="10">
        <v>198.855053745151</v>
      </c>
      <c r="E7" s="10">
        <v>1998</v>
      </c>
      <c r="F7" s="10">
        <v>6</v>
      </c>
      <c r="G7" s="10">
        <v>198.81052215759101</v>
      </c>
    </row>
    <row r="8" spans="1:7" x14ac:dyDescent="0.25">
      <c r="A8" s="10">
        <v>1998</v>
      </c>
      <c r="B8" s="10">
        <v>7</v>
      </c>
      <c r="C8" s="10">
        <v>186.59377876649501</v>
      </c>
      <c r="E8" s="10">
        <v>1998</v>
      </c>
      <c r="F8" s="10">
        <v>7</v>
      </c>
      <c r="G8" s="10">
        <v>186.458295782557</v>
      </c>
    </row>
    <row r="9" spans="1:7" x14ac:dyDescent="0.25">
      <c r="A9" s="10">
        <v>1998</v>
      </c>
      <c r="B9" s="10">
        <v>8</v>
      </c>
      <c r="C9" s="10">
        <v>203.92916517249199</v>
      </c>
      <c r="E9" s="10">
        <v>1998</v>
      </c>
      <c r="F9" s="10">
        <v>8</v>
      </c>
      <c r="G9" s="10">
        <v>204.030648615102</v>
      </c>
    </row>
    <row r="10" spans="1:7" x14ac:dyDescent="0.25">
      <c r="A10" s="10">
        <v>1998</v>
      </c>
      <c r="B10" s="10">
        <v>9</v>
      </c>
      <c r="C10" s="10">
        <v>201.96125320971501</v>
      </c>
      <c r="E10" s="10">
        <v>1998</v>
      </c>
      <c r="F10" s="10">
        <v>9</v>
      </c>
      <c r="G10" s="10">
        <v>201.885014186305</v>
      </c>
    </row>
    <row r="11" spans="1:7" x14ac:dyDescent="0.25">
      <c r="A11" s="10">
        <v>1998</v>
      </c>
      <c r="B11" s="10">
        <v>10</v>
      </c>
      <c r="C11" s="10">
        <v>208.49391082575099</v>
      </c>
      <c r="E11" s="10">
        <v>1998</v>
      </c>
      <c r="F11" s="10">
        <v>10</v>
      </c>
      <c r="G11" s="10">
        <v>208.56484242434101</v>
      </c>
    </row>
    <row r="12" spans="1:7" x14ac:dyDescent="0.25">
      <c r="A12" s="10">
        <v>1998</v>
      </c>
      <c r="B12" s="10">
        <v>11</v>
      </c>
      <c r="C12" s="10">
        <v>213.62126679797299</v>
      </c>
      <c r="E12" s="10">
        <v>1998</v>
      </c>
      <c r="F12" s="10">
        <v>11</v>
      </c>
      <c r="G12" s="10">
        <v>213.68753707925899</v>
      </c>
    </row>
    <row r="13" spans="1:7" x14ac:dyDescent="0.25">
      <c r="A13" s="10">
        <v>1998</v>
      </c>
      <c r="B13" s="10">
        <v>12</v>
      </c>
      <c r="C13" s="10">
        <v>217.56260435516899</v>
      </c>
      <c r="E13" s="10">
        <v>1998</v>
      </c>
      <c r="F13" s="10">
        <v>12</v>
      </c>
      <c r="G13" s="10">
        <v>217.459766038384</v>
      </c>
    </row>
    <row r="14" spans="1:7" x14ac:dyDescent="0.25">
      <c r="A14" s="10">
        <v>1999</v>
      </c>
      <c r="B14" s="10">
        <v>1</v>
      </c>
      <c r="C14" s="10">
        <v>217.986937529914</v>
      </c>
      <c r="E14" s="10">
        <v>1999</v>
      </c>
      <c r="F14" s="10">
        <v>1</v>
      </c>
      <c r="G14" s="10">
        <v>218.05473860956999</v>
      </c>
    </row>
    <row r="15" spans="1:7" x14ac:dyDescent="0.25">
      <c r="A15" s="10">
        <v>1999</v>
      </c>
      <c r="B15" s="10">
        <v>2</v>
      </c>
      <c r="C15" s="10">
        <v>221.951321517287</v>
      </c>
      <c r="E15" s="10">
        <v>1999</v>
      </c>
      <c r="F15" s="10">
        <v>2</v>
      </c>
      <c r="G15" s="10">
        <v>221.98299755614499</v>
      </c>
    </row>
    <row r="16" spans="1:7" x14ac:dyDescent="0.25">
      <c r="A16" s="10">
        <v>1999</v>
      </c>
      <c r="B16" s="10">
        <v>3</v>
      </c>
      <c r="C16" s="10">
        <v>223.51480400713899</v>
      </c>
      <c r="E16" s="10">
        <v>1999</v>
      </c>
      <c r="F16" s="10">
        <v>3</v>
      </c>
      <c r="G16" s="10">
        <v>223.55121807662201</v>
      </c>
    </row>
    <row r="17" spans="1:7" x14ac:dyDescent="0.25">
      <c r="A17" s="10">
        <v>1999</v>
      </c>
      <c r="B17" s="10">
        <v>4</v>
      </c>
      <c r="C17" s="10">
        <v>220.14032603596999</v>
      </c>
      <c r="E17" s="10">
        <v>1999</v>
      </c>
      <c r="F17" s="10">
        <v>4</v>
      </c>
      <c r="G17" s="10">
        <v>219.999984355066</v>
      </c>
    </row>
    <row r="18" spans="1:7" x14ac:dyDescent="0.25">
      <c r="A18" s="10">
        <v>1999</v>
      </c>
      <c r="B18" s="10">
        <v>5</v>
      </c>
      <c r="C18" s="10">
        <v>236.645909823968</v>
      </c>
      <c r="E18" s="10">
        <v>1999</v>
      </c>
      <c r="F18" s="10">
        <v>5</v>
      </c>
      <c r="G18" s="10">
        <v>236.759604552025</v>
      </c>
    </row>
    <row r="19" spans="1:7" x14ac:dyDescent="0.25">
      <c r="A19" s="10">
        <v>1999</v>
      </c>
      <c r="B19" s="10">
        <v>6</v>
      </c>
      <c r="C19" s="10">
        <v>219.66596038207001</v>
      </c>
      <c r="E19" s="10">
        <v>1999</v>
      </c>
      <c r="F19" s="10">
        <v>6</v>
      </c>
      <c r="G19" s="10">
        <v>219.61384832061501</v>
      </c>
    </row>
    <row r="20" spans="1:7" x14ac:dyDescent="0.25">
      <c r="A20" s="10">
        <v>1999</v>
      </c>
      <c r="B20" s="10">
        <v>7</v>
      </c>
      <c r="C20" s="10">
        <v>216.67302377074</v>
      </c>
      <c r="E20" s="10">
        <v>1999</v>
      </c>
      <c r="F20" s="10">
        <v>7</v>
      </c>
      <c r="G20" s="10">
        <v>216.65122490712</v>
      </c>
    </row>
    <row r="21" spans="1:7" x14ac:dyDescent="0.25">
      <c r="A21" s="10">
        <v>1999</v>
      </c>
      <c r="B21" s="10">
        <v>8</v>
      </c>
      <c r="C21" s="10">
        <v>230.56364072228601</v>
      </c>
      <c r="E21" s="10">
        <v>1999</v>
      </c>
      <c r="F21" s="10">
        <v>8</v>
      </c>
      <c r="G21" s="10">
        <v>230.56901056326299</v>
      </c>
    </row>
    <row r="22" spans="1:7" x14ac:dyDescent="0.25">
      <c r="A22" s="10">
        <v>1999</v>
      </c>
      <c r="B22" s="10">
        <v>9</v>
      </c>
      <c r="C22" s="10">
        <v>228.40981400701901</v>
      </c>
      <c r="E22" s="10">
        <v>1999</v>
      </c>
      <c r="F22" s="10">
        <v>9</v>
      </c>
      <c r="G22" s="10">
        <v>228.323215555525</v>
      </c>
    </row>
    <row r="23" spans="1:7" x14ac:dyDescent="0.25">
      <c r="A23" s="10">
        <v>1999</v>
      </c>
      <c r="B23" s="10">
        <v>10</v>
      </c>
      <c r="C23" s="10">
        <v>235.49688833752199</v>
      </c>
      <c r="E23" s="10">
        <v>1999</v>
      </c>
      <c r="F23" s="10">
        <v>10</v>
      </c>
      <c r="G23" s="10">
        <v>235.67621017502401</v>
      </c>
    </row>
    <row r="24" spans="1:7" x14ac:dyDescent="0.25">
      <c r="A24" s="10">
        <v>1999</v>
      </c>
      <c r="B24" s="10">
        <v>11</v>
      </c>
      <c r="C24" s="10">
        <v>236.86289077051401</v>
      </c>
      <c r="E24" s="10">
        <v>1999</v>
      </c>
      <c r="F24" s="10">
        <v>11</v>
      </c>
      <c r="G24" s="10">
        <v>236.82310257141901</v>
      </c>
    </row>
    <row r="25" spans="1:7" x14ac:dyDescent="0.25">
      <c r="A25" s="10">
        <v>1999</v>
      </c>
      <c r="B25" s="10">
        <v>12</v>
      </c>
      <c r="C25" s="10">
        <v>229.38583989219401</v>
      </c>
      <c r="E25" s="10">
        <v>1999</v>
      </c>
      <c r="F25" s="10">
        <v>12</v>
      </c>
      <c r="G25" s="10">
        <v>229.28002659289001</v>
      </c>
    </row>
    <row r="26" spans="1:7" x14ac:dyDescent="0.25">
      <c r="A26" s="10">
        <v>2000</v>
      </c>
      <c r="B26" s="10">
        <v>1</v>
      </c>
      <c r="C26" s="10">
        <v>236.78568785309599</v>
      </c>
      <c r="E26" s="10">
        <v>2000</v>
      </c>
      <c r="F26" s="10">
        <v>1</v>
      </c>
      <c r="G26" s="10">
        <v>236.87560944597899</v>
      </c>
    </row>
    <row r="27" spans="1:7" x14ac:dyDescent="0.25">
      <c r="A27" s="10">
        <v>2000</v>
      </c>
      <c r="B27" s="10">
        <v>2</v>
      </c>
      <c r="C27" s="10">
        <v>229.20954804114299</v>
      </c>
      <c r="E27" s="10">
        <v>2000</v>
      </c>
      <c r="F27" s="10">
        <v>2</v>
      </c>
      <c r="G27" s="10">
        <v>229.11934228044299</v>
      </c>
    </row>
    <row r="28" spans="1:7" x14ac:dyDescent="0.25">
      <c r="A28" s="10">
        <v>2000</v>
      </c>
      <c r="B28" s="10">
        <v>3</v>
      </c>
      <c r="C28" s="10">
        <v>233.19505055289599</v>
      </c>
      <c r="E28" s="10">
        <v>2000</v>
      </c>
      <c r="F28" s="10">
        <v>3</v>
      </c>
      <c r="G28" s="10">
        <v>233.27508204488001</v>
      </c>
    </row>
    <row r="29" spans="1:7" x14ac:dyDescent="0.25">
      <c r="A29" s="10">
        <v>2000</v>
      </c>
      <c r="B29" s="10">
        <v>4</v>
      </c>
      <c r="C29" s="10">
        <v>226.06531937623501</v>
      </c>
      <c r="E29" s="10">
        <v>2000</v>
      </c>
      <c r="F29" s="10">
        <v>4</v>
      </c>
      <c r="G29" s="10">
        <v>226.01846065326001</v>
      </c>
    </row>
    <row r="30" spans="1:7" x14ac:dyDescent="0.25">
      <c r="A30" s="10">
        <v>2000</v>
      </c>
      <c r="B30" s="10">
        <v>5</v>
      </c>
      <c r="C30" s="10">
        <v>227.62441185509601</v>
      </c>
      <c r="E30" s="10">
        <v>2000</v>
      </c>
      <c r="F30" s="10">
        <v>5</v>
      </c>
      <c r="G30" s="10">
        <v>227.55776448919801</v>
      </c>
    </row>
    <row r="31" spans="1:7" x14ac:dyDescent="0.25">
      <c r="A31" s="10">
        <v>2000</v>
      </c>
      <c r="B31" s="10">
        <v>6</v>
      </c>
      <c r="C31" s="10">
        <v>226.60110654759299</v>
      </c>
      <c r="E31" s="10">
        <v>2000</v>
      </c>
      <c r="F31" s="10">
        <v>6</v>
      </c>
      <c r="G31" s="10">
        <v>226.54616882800201</v>
      </c>
    </row>
    <row r="32" spans="1:7" x14ac:dyDescent="0.25">
      <c r="A32" s="10">
        <v>2000</v>
      </c>
      <c r="B32" s="10">
        <v>7</v>
      </c>
      <c r="C32" s="10">
        <v>229.967246692515</v>
      </c>
      <c r="E32" s="10">
        <v>2000</v>
      </c>
      <c r="F32" s="10">
        <v>7</v>
      </c>
      <c r="G32" s="10">
        <v>230.07355673517799</v>
      </c>
    </row>
    <row r="33" spans="1:7" x14ac:dyDescent="0.25">
      <c r="A33" s="10">
        <v>2000</v>
      </c>
      <c r="B33" s="10">
        <v>8</v>
      </c>
      <c r="C33" s="10">
        <v>221.363810236831</v>
      </c>
      <c r="E33" s="10">
        <v>2000</v>
      </c>
      <c r="F33" s="10">
        <v>8</v>
      </c>
      <c r="G33" s="10">
        <v>221.27299780293799</v>
      </c>
    </row>
    <row r="34" spans="1:7" x14ac:dyDescent="0.25">
      <c r="A34" s="10">
        <v>2000</v>
      </c>
      <c r="B34" s="10">
        <v>9</v>
      </c>
      <c r="C34" s="10">
        <v>229.454156900138</v>
      </c>
      <c r="E34" s="10">
        <v>2000</v>
      </c>
      <c r="F34" s="10">
        <v>9</v>
      </c>
      <c r="G34" s="10">
        <v>229.46137128183</v>
      </c>
    </row>
    <row r="35" spans="1:7" x14ac:dyDescent="0.25">
      <c r="A35" s="10">
        <v>2000</v>
      </c>
      <c r="B35" s="10">
        <v>10</v>
      </c>
      <c r="C35" s="10">
        <v>215.94943070544201</v>
      </c>
      <c r="E35" s="10">
        <v>2000</v>
      </c>
      <c r="F35" s="10">
        <v>10</v>
      </c>
      <c r="G35" s="10">
        <v>216.03259218647401</v>
      </c>
    </row>
    <row r="36" spans="1:7" x14ac:dyDescent="0.25">
      <c r="A36" s="10">
        <v>2000</v>
      </c>
      <c r="B36" s="10">
        <v>11</v>
      </c>
      <c r="C36" s="10">
        <v>222.865329650777</v>
      </c>
      <c r="E36" s="10">
        <v>2000</v>
      </c>
      <c r="F36" s="10">
        <v>11</v>
      </c>
      <c r="G36" s="10">
        <v>222.815830528866</v>
      </c>
    </row>
    <row r="37" spans="1:7" x14ac:dyDescent="0.25">
      <c r="A37" s="10">
        <v>2000</v>
      </c>
      <c r="B37" s="10">
        <v>12</v>
      </c>
      <c r="C37" s="10">
        <v>229.83230944182401</v>
      </c>
      <c r="E37" s="10">
        <v>2000</v>
      </c>
      <c r="F37" s="10">
        <v>12</v>
      </c>
      <c r="G37" s="10">
        <v>229.93294277503199</v>
      </c>
    </row>
    <row r="38" spans="1:7" x14ac:dyDescent="0.25">
      <c r="A38" s="10">
        <v>2001</v>
      </c>
      <c r="B38" s="10">
        <v>1</v>
      </c>
      <c r="C38" s="10">
        <v>218.99794538837301</v>
      </c>
      <c r="E38" s="10">
        <v>2001</v>
      </c>
      <c r="F38" s="10">
        <v>1</v>
      </c>
      <c r="G38" s="10">
        <v>218.90447458827799</v>
      </c>
    </row>
    <row r="39" spans="1:7" x14ac:dyDescent="0.25">
      <c r="A39" s="10">
        <v>2001</v>
      </c>
      <c r="B39" s="10">
        <v>2</v>
      </c>
      <c r="C39" s="10">
        <v>228.558333594532</v>
      </c>
      <c r="E39" s="10">
        <v>2001</v>
      </c>
      <c r="F39" s="10">
        <v>2</v>
      </c>
      <c r="G39" s="10">
        <v>228.61110687727501</v>
      </c>
    </row>
    <row r="40" spans="1:7" x14ac:dyDescent="0.25">
      <c r="A40" s="10">
        <v>2001</v>
      </c>
      <c r="B40" s="10">
        <v>3</v>
      </c>
      <c r="C40" s="10">
        <v>206.90562975104299</v>
      </c>
      <c r="E40" s="10">
        <v>2001</v>
      </c>
      <c r="F40" s="10">
        <v>3</v>
      </c>
      <c r="G40" s="10">
        <v>207.12798927722801</v>
      </c>
    </row>
    <row r="41" spans="1:7" x14ac:dyDescent="0.25">
      <c r="A41" s="10">
        <v>2001</v>
      </c>
      <c r="B41" s="10">
        <v>4</v>
      </c>
      <c r="C41" s="10">
        <v>212.47274577608999</v>
      </c>
      <c r="E41" s="10">
        <v>2001</v>
      </c>
      <c r="F41" s="10">
        <v>4</v>
      </c>
      <c r="G41" s="10">
        <v>212.18911897475701</v>
      </c>
    </row>
    <row r="42" spans="1:7" x14ac:dyDescent="0.25">
      <c r="A42" s="10">
        <v>2001</v>
      </c>
      <c r="B42" s="10">
        <v>5</v>
      </c>
      <c r="C42" s="10">
        <v>203.32131267258501</v>
      </c>
      <c r="E42" s="10">
        <v>2001</v>
      </c>
      <c r="F42" s="10">
        <v>5</v>
      </c>
      <c r="G42" s="10">
        <v>203.28250283789399</v>
      </c>
    </row>
    <row r="43" spans="1:7" x14ac:dyDescent="0.25">
      <c r="A43" s="10">
        <v>2001</v>
      </c>
      <c r="B43" s="10">
        <v>6</v>
      </c>
      <c r="C43" s="10">
        <v>208.463093958852</v>
      </c>
      <c r="E43" s="10">
        <v>2001</v>
      </c>
      <c r="F43" s="10">
        <v>6</v>
      </c>
      <c r="G43" s="10">
        <v>208.52474523570399</v>
      </c>
    </row>
    <row r="44" spans="1:7" x14ac:dyDescent="0.25">
      <c r="A44" s="10">
        <v>2001</v>
      </c>
      <c r="B44" s="10">
        <v>7</v>
      </c>
      <c r="C44" s="10">
        <v>203.24577323390599</v>
      </c>
      <c r="E44" s="10">
        <v>2001</v>
      </c>
      <c r="F44" s="10">
        <v>7</v>
      </c>
      <c r="G44" s="10">
        <v>203.266081071842</v>
      </c>
    </row>
    <row r="45" spans="1:7" x14ac:dyDescent="0.25">
      <c r="A45" s="10">
        <v>2001</v>
      </c>
      <c r="B45" s="10">
        <v>8</v>
      </c>
      <c r="C45" s="10">
        <v>203.60008101909301</v>
      </c>
      <c r="E45" s="10">
        <v>2001</v>
      </c>
      <c r="F45" s="10">
        <v>8</v>
      </c>
      <c r="G45" s="10">
        <v>203.514572603809</v>
      </c>
    </row>
    <row r="46" spans="1:7" x14ac:dyDescent="0.25">
      <c r="A46" s="10">
        <v>2001</v>
      </c>
      <c r="B46" s="10">
        <v>9</v>
      </c>
      <c r="C46" s="10">
        <v>201.049461109151</v>
      </c>
      <c r="E46" s="10">
        <v>2001</v>
      </c>
      <c r="F46" s="10">
        <v>9</v>
      </c>
      <c r="G46" s="10">
        <v>201.16082282890801</v>
      </c>
    </row>
    <row r="47" spans="1:7" x14ac:dyDescent="0.25">
      <c r="A47" s="10">
        <v>2001</v>
      </c>
      <c r="B47" s="10">
        <v>10</v>
      </c>
      <c r="C47" s="10">
        <v>201.17604345612099</v>
      </c>
      <c r="E47" s="10">
        <v>2001</v>
      </c>
      <c r="F47" s="10">
        <v>10</v>
      </c>
      <c r="G47" s="10">
        <v>201.16154038375501</v>
      </c>
    </row>
    <row r="48" spans="1:7" x14ac:dyDescent="0.25">
      <c r="A48" s="10">
        <v>2001</v>
      </c>
      <c r="B48" s="10">
        <v>11</v>
      </c>
      <c r="C48" s="10">
        <v>198.889469401913</v>
      </c>
      <c r="E48" s="10">
        <v>2001</v>
      </c>
      <c r="F48" s="10">
        <v>11</v>
      </c>
      <c r="G48" s="10">
        <v>198.826755492323</v>
      </c>
    </row>
    <row r="49" spans="1:7" x14ac:dyDescent="0.25">
      <c r="A49" s="10">
        <v>2001</v>
      </c>
      <c r="B49" s="10">
        <v>12</v>
      </c>
      <c r="C49" s="10">
        <v>199.029219451382</v>
      </c>
      <c r="E49" s="10">
        <v>2001</v>
      </c>
      <c r="F49" s="10">
        <v>12</v>
      </c>
      <c r="G49" s="10">
        <v>199.13196967659999</v>
      </c>
    </row>
    <row r="50" spans="1:7" x14ac:dyDescent="0.25">
      <c r="A50" s="10">
        <v>2002</v>
      </c>
      <c r="B50" s="10">
        <v>1</v>
      </c>
      <c r="C50" s="10">
        <v>185.87273788144401</v>
      </c>
      <c r="E50" s="10">
        <v>2002</v>
      </c>
      <c r="F50" s="10">
        <v>1</v>
      </c>
      <c r="G50" s="10">
        <v>185.795685392423</v>
      </c>
    </row>
    <row r="51" spans="1:7" x14ac:dyDescent="0.25">
      <c r="A51" s="10">
        <v>2002</v>
      </c>
      <c r="B51" s="10">
        <v>2</v>
      </c>
      <c r="C51" s="10">
        <v>213.01652944413101</v>
      </c>
      <c r="E51" s="10">
        <v>2002</v>
      </c>
      <c r="F51" s="10">
        <v>2</v>
      </c>
      <c r="G51" s="10">
        <v>213.066605171107</v>
      </c>
    </row>
    <row r="52" spans="1:7" x14ac:dyDescent="0.25">
      <c r="A52" s="10">
        <v>2002</v>
      </c>
      <c r="B52" s="10">
        <v>3</v>
      </c>
      <c r="C52" s="10">
        <v>217.062215750072</v>
      </c>
      <c r="E52" s="10">
        <v>2002</v>
      </c>
      <c r="F52" s="10">
        <v>3</v>
      </c>
      <c r="G52" s="10">
        <v>216.84071847285401</v>
      </c>
    </row>
    <row r="53" spans="1:7" x14ac:dyDescent="0.25">
      <c r="A53" s="10">
        <v>2002</v>
      </c>
      <c r="B53" s="10">
        <v>4</v>
      </c>
      <c r="C53" s="10">
        <v>220.73078365183201</v>
      </c>
      <c r="E53" s="10">
        <v>2002</v>
      </c>
      <c r="F53" s="10">
        <v>4</v>
      </c>
      <c r="G53" s="10">
        <v>220.86424760448801</v>
      </c>
    </row>
    <row r="54" spans="1:7" x14ac:dyDescent="0.25">
      <c r="A54" s="10">
        <v>2002</v>
      </c>
      <c r="B54" s="10">
        <v>5</v>
      </c>
      <c r="C54" s="10">
        <v>217.63824986469001</v>
      </c>
      <c r="E54" s="10">
        <v>2002</v>
      </c>
      <c r="F54" s="10">
        <v>5</v>
      </c>
      <c r="G54" s="10">
        <v>217.60909082021701</v>
      </c>
    </row>
    <row r="55" spans="1:7" x14ac:dyDescent="0.25">
      <c r="A55" s="10">
        <v>2002</v>
      </c>
      <c r="B55" s="10">
        <v>6</v>
      </c>
      <c r="C55" s="10">
        <v>242.43131603904899</v>
      </c>
      <c r="E55" s="10">
        <v>2002</v>
      </c>
      <c r="F55" s="10">
        <v>6</v>
      </c>
      <c r="G55" s="10">
        <v>242.59413656203299</v>
      </c>
    </row>
    <row r="56" spans="1:7" x14ac:dyDescent="0.25">
      <c r="A56" s="10">
        <v>2002</v>
      </c>
      <c r="B56" s="10">
        <v>7</v>
      </c>
      <c r="C56" s="10">
        <v>219.34010025241199</v>
      </c>
      <c r="E56" s="10">
        <v>2002</v>
      </c>
      <c r="F56" s="10">
        <v>7</v>
      </c>
      <c r="G56" s="10">
        <v>219.25912187370599</v>
      </c>
    </row>
    <row r="57" spans="1:7" x14ac:dyDescent="0.25">
      <c r="A57" s="10">
        <v>2002</v>
      </c>
      <c r="B57" s="10">
        <v>8</v>
      </c>
      <c r="C57" s="10">
        <v>203.91210603324501</v>
      </c>
      <c r="E57" s="10">
        <v>2002</v>
      </c>
      <c r="F57" s="10">
        <v>8</v>
      </c>
      <c r="G57" s="10">
        <v>203.93434181696199</v>
      </c>
    </row>
    <row r="58" spans="1:7" x14ac:dyDescent="0.25">
      <c r="A58" s="10">
        <v>2002</v>
      </c>
      <c r="B58" s="10">
        <v>9</v>
      </c>
      <c r="C58" s="10">
        <v>202.80720697407801</v>
      </c>
      <c r="E58" s="10">
        <v>2002</v>
      </c>
      <c r="F58" s="10">
        <v>9</v>
      </c>
      <c r="G58" s="10">
        <v>202.8253224462</v>
      </c>
    </row>
    <row r="59" spans="1:7" x14ac:dyDescent="0.25">
      <c r="A59" s="10">
        <v>2002</v>
      </c>
      <c r="B59" s="10">
        <v>10</v>
      </c>
      <c r="C59" s="10">
        <v>197.69212990358201</v>
      </c>
      <c r="E59" s="10">
        <v>2002</v>
      </c>
      <c r="F59" s="10">
        <v>10</v>
      </c>
      <c r="G59" s="10">
        <v>197.659559982475</v>
      </c>
    </row>
    <row r="60" spans="1:7" x14ac:dyDescent="0.25">
      <c r="A60" s="10">
        <v>2002</v>
      </c>
      <c r="B60" s="10">
        <v>11</v>
      </c>
      <c r="C60" s="10">
        <v>199.94203870080401</v>
      </c>
      <c r="E60" s="10">
        <v>2002</v>
      </c>
      <c r="F60" s="10">
        <v>11</v>
      </c>
      <c r="G60" s="10">
        <v>199.98157223695301</v>
      </c>
    </row>
    <row r="61" spans="1:7" x14ac:dyDescent="0.25">
      <c r="A61" s="10">
        <v>2002</v>
      </c>
      <c r="B61" s="10">
        <v>12</v>
      </c>
      <c r="C61" s="10">
        <v>201.56802222347</v>
      </c>
      <c r="E61" s="10">
        <v>2002</v>
      </c>
      <c r="F61" s="10">
        <v>12</v>
      </c>
      <c r="G61" s="10">
        <v>201.57811661452001</v>
      </c>
    </row>
    <row r="62" spans="1:7" x14ac:dyDescent="0.25">
      <c r="A62" s="10">
        <v>2003</v>
      </c>
      <c r="B62" s="10">
        <v>1</v>
      </c>
      <c r="C62" s="10">
        <v>203.60751664833501</v>
      </c>
      <c r="E62" s="10">
        <v>2003</v>
      </c>
      <c r="F62" s="10">
        <v>1</v>
      </c>
      <c r="G62" s="10">
        <v>203.53417386577101</v>
      </c>
    </row>
    <row r="63" spans="1:7" x14ac:dyDescent="0.25">
      <c r="A63" s="10">
        <v>2003</v>
      </c>
      <c r="B63" s="10">
        <v>2</v>
      </c>
      <c r="C63" s="10">
        <v>204.793532984282</v>
      </c>
      <c r="E63" s="10">
        <v>2003</v>
      </c>
      <c r="F63" s="10">
        <v>2</v>
      </c>
      <c r="G63" s="10">
        <v>204.83313683784101</v>
      </c>
    </row>
    <row r="64" spans="1:7" x14ac:dyDescent="0.25">
      <c r="A64" s="10">
        <v>2003</v>
      </c>
      <c r="B64" s="10">
        <v>3</v>
      </c>
      <c r="C64" s="10">
        <v>207.652073410697</v>
      </c>
      <c r="E64" s="10">
        <v>2003</v>
      </c>
      <c r="F64" s="10">
        <v>3</v>
      </c>
      <c r="G64" s="10">
        <v>207.97778519349501</v>
      </c>
    </row>
    <row r="65" spans="1:7" x14ac:dyDescent="0.25">
      <c r="A65" s="10">
        <v>2003</v>
      </c>
      <c r="B65" s="10">
        <v>4</v>
      </c>
      <c r="C65" s="10">
        <v>222.32279116547701</v>
      </c>
      <c r="E65" s="10">
        <v>2003</v>
      </c>
      <c r="F65" s="10">
        <v>4</v>
      </c>
      <c r="G65" s="10">
        <v>221.94931983059701</v>
      </c>
    </row>
    <row r="66" spans="1:7" x14ac:dyDescent="0.25">
      <c r="A66" s="10">
        <v>2003</v>
      </c>
      <c r="B66" s="10">
        <v>5</v>
      </c>
      <c r="C66" s="10">
        <v>215.758050121499</v>
      </c>
      <c r="E66" s="10">
        <v>2003</v>
      </c>
      <c r="F66" s="10">
        <v>5</v>
      </c>
      <c r="G66" s="10">
        <v>215.80890943896699</v>
      </c>
    </row>
    <row r="67" spans="1:7" x14ac:dyDescent="0.25">
      <c r="A67" s="10">
        <v>2003</v>
      </c>
      <c r="B67" s="10">
        <v>6</v>
      </c>
      <c r="C67" s="10">
        <v>219.69088697175999</v>
      </c>
      <c r="E67" s="10">
        <v>2003</v>
      </c>
      <c r="F67" s="10">
        <v>6</v>
      </c>
      <c r="G67" s="10">
        <v>219.76151843844499</v>
      </c>
    </row>
    <row r="68" spans="1:7" x14ac:dyDescent="0.25">
      <c r="A68" s="10">
        <v>2003</v>
      </c>
      <c r="B68" s="10">
        <v>7</v>
      </c>
      <c r="C68" s="10">
        <v>222.06563877177501</v>
      </c>
      <c r="E68" s="10">
        <v>2003</v>
      </c>
      <c r="F68" s="10">
        <v>7</v>
      </c>
      <c r="G68" s="10">
        <v>221.977322544195</v>
      </c>
    </row>
    <row r="69" spans="1:7" x14ac:dyDescent="0.25">
      <c r="A69" s="10">
        <v>2003</v>
      </c>
      <c r="B69" s="10">
        <v>8</v>
      </c>
      <c r="C69" s="10">
        <v>226.04797034190199</v>
      </c>
      <c r="E69" s="10">
        <v>2003</v>
      </c>
      <c r="F69" s="10">
        <v>8</v>
      </c>
      <c r="G69" s="10">
        <v>226.14384505018</v>
      </c>
    </row>
    <row r="70" spans="1:7" x14ac:dyDescent="0.25">
      <c r="A70" s="10">
        <v>2003</v>
      </c>
      <c r="B70" s="10">
        <v>9</v>
      </c>
      <c r="C70" s="10">
        <v>228.751573839369</v>
      </c>
      <c r="E70" s="10">
        <v>2003</v>
      </c>
      <c r="F70" s="10">
        <v>9</v>
      </c>
      <c r="G70" s="10">
        <v>228.68509411651399</v>
      </c>
    </row>
    <row r="71" spans="1:7" x14ac:dyDescent="0.25">
      <c r="A71" s="10">
        <v>2003</v>
      </c>
      <c r="B71" s="10">
        <v>10</v>
      </c>
      <c r="C71" s="10">
        <v>231.68190095335601</v>
      </c>
      <c r="E71" s="10">
        <v>2003</v>
      </c>
      <c r="F71" s="10">
        <v>10</v>
      </c>
      <c r="G71" s="10">
        <v>231.61336533151101</v>
      </c>
    </row>
    <row r="72" spans="1:7" x14ac:dyDescent="0.25">
      <c r="A72" s="10">
        <v>2003</v>
      </c>
      <c r="B72" s="10">
        <v>11</v>
      </c>
      <c r="C72" s="10">
        <v>236.02226986756901</v>
      </c>
      <c r="E72" s="10">
        <v>2003</v>
      </c>
      <c r="F72" s="10">
        <v>11</v>
      </c>
      <c r="G72" s="10">
        <v>236.161048682938</v>
      </c>
    </row>
    <row r="73" spans="1:7" x14ac:dyDescent="0.25">
      <c r="A73" s="10">
        <v>2003</v>
      </c>
      <c r="B73" s="10">
        <v>12</v>
      </c>
      <c r="C73" s="10">
        <v>241.23826082648901</v>
      </c>
      <c r="E73" s="10">
        <v>2003</v>
      </c>
      <c r="F73" s="10">
        <v>12</v>
      </c>
      <c r="G73" s="10">
        <v>241.19547481828201</v>
      </c>
    </row>
    <row r="74" spans="1:7" x14ac:dyDescent="0.25">
      <c r="A74" s="10">
        <v>2004</v>
      </c>
      <c r="B74" s="10">
        <v>1</v>
      </c>
      <c r="C74" s="10">
        <v>238.95027813989901</v>
      </c>
      <c r="E74" s="10">
        <v>2004</v>
      </c>
      <c r="F74" s="10">
        <v>1</v>
      </c>
      <c r="G74" s="10">
        <v>238.97404841049101</v>
      </c>
    </row>
    <row r="75" spans="1:7" x14ac:dyDescent="0.25">
      <c r="A75" s="10">
        <v>2004</v>
      </c>
      <c r="B75" s="10">
        <v>2</v>
      </c>
      <c r="C75" s="10">
        <v>250.213195955213</v>
      </c>
      <c r="E75" s="10">
        <v>2004</v>
      </c>
      <c r="F75" s="10">
        <v>2</v>
      </c>
      <c r="G75" s="10">
        <v>250.21271905634899</v>
      </c>
    </row>
    <row r="76" spans="1:7" x14ac:dyDescent="0.25">
      <c r="A76" s="10">
        <v>2004</v>
      </c>
      <c r="B76" s="10">
        <v>3</v>
      </c>
      <c r="C76" s="10">
        <v>249.45590489758601</v>
      </c>
      <c r="E76" s="10">
        <v>2004</v>
      </c>
      <c r="F76" s="10">
        <v>3</v>
      </c>
      <c r="G76" s="10">
        <v>249.528190756387</v>
      </c>
    </row>
    <row r="77" spans="1:7" x14ac:dyDescent="0.25">
      <c r="A77" s="10">
        <v>2004</v>
      </c>
      <c r="B77" s="10">
        <v>4</v>
      </c>
      <c r="C77" s="10">
        <v>242.37797412999299</v>
      </c>
      <c r="E77" s="10">
        <v>2004</v>
      </c>
      <c r="F77" s="10">
        <v>4</v>
      </c>
      <c r="G77" s="10">
        <v>242.114657593191</v>
      </c>
    </row>
    <row r="78" spans="1:7" x14ac:dyDescent="0.25">
      <c r="A78" s="10">
        <v>2004</v>
      </c>
      <c r="B78" s="10">
        <v>5</v>
      </c>
      <c r="C78" s="10">
        <v>258.39478162122498</v>
      </c>
      <c r="E78" s="10">
        <v>2004</v>
      </c>
      <c r="F78" s="10">
        <v>5</v>
      </c>
      <c r="G78" s="10">
        <v>258.53087685779002</v>
      </c>
    </row>
    <row r="79" spans="1:7" x14ac:dyDescent="0.25">
      <c r="A79" s="10">
        <v>2004</v>
      </c>
      <c r="B79" s="10">
        <v>6</v>
      </c>
      <c r="C79" s="10">
        <v>259.52268471810498</v>
      </c>
      <c r="E79" s="10">
        <v>2004</v>
      </c>
      <c r="F79" s="10">
        <v>6</v>
      </c>
      <c r="G79" s="10">
        <v>259.48935325020102</v>
      </c>
    </row>
    <row r="80" spans="1:7" x14ac:dyDescent="0.25">
      <c r="A80" s="10">
        <v>2004</v>
      </c>
      <c r="B80" s="10">
        <v>7</v>
      </c>
      <c r="C80" s="10">
        <v>252.99363707485699</v>
      </c>
      <c r="E80" s="10">
        <v>2004</v>
      </c>
      <c r="F80" s="10">
        <v>7</v>
      </c>
      <c r="G80" s="10">
        <v>252.99509718820599</v>
      </c>
    </row>
    <row r="81" spans="1:7" x14ac:dyDescent="0.25">
      <c r="A81" s="10">
        <v>2004</v>
      </c>
      <c r="B81" s="10">
        <v>8</v>
      </c>
      <c r="C81" s="10">
        <v>252.05085617281799</v>
      </c>
      <c r="E81" s="10">
        <v>2004</v>
      </c>
      <c r="F81" s="10">
        <v>8</v>
      </c>
      <c r="G81" s="10">
        <v>252.00376292358899</v>
      </c>
    </row>
    <row r="82" spans="1:7" x14ac:dyDescent="0.25">
      <c r="A82" s="10">
        <v>2004</v>
      </c>
      <c r="B82" s="10">
        <v>9</v>
      </c>
      <c r="C82" s="10">
        <v>250.91416566199999</v>
      </c>
      <c r="E82" s="10">
        <v>2004</v>
      </c>
      <c r="F82" s="10">
        <v>9</v>
      </c>
      <c r="G82" s="10">
        <v>250.872697053678</v>
      </c>
    </row>
    <row r="83" spans="1:7" x14ac:dyDescent="0.25">
      <c r="A83" s="10">
        <v>2004</v>
      </c>
      <c r="B83" s="10">
        <v>10</v>
      </c>
      <c r="C83" s="10">
        <v>255.55701140411901</v>
      </c>
      <c r="E83" s="10">
        <v>2004</v>
      </c>
      <c r="F83" s="10">
        <v>10</v>
      </c>
      <c r="G83" s="10">
        <v>255.65376736204701</v>
      </c>
    </row>
    <row r="84" spans="1:7" x14ac:dyDescent="0.25">
      <c r="A84" s="10">
        <v>2004</v>
      </c>
      <c r="B84" s="10">
        <v>11</v>
      </c>
      <c r="C84" s="10">
        <v>255.60413519162401</v>
      </c>
      <c r="E84" s="10">
        <v>2004</v>
      </c>
      <c r="F84" s="10">
        <v>11</v>
      </c>
      <c r="G84" s="10">
        <v>255.52401790624799</v>
      </c>
    </row>
    <row r="85" spans="1:7" x14ac:dyDescent="0.25">
      <c r="A85" s="10">
        <v>2004</v>
      </c>
      <c r="B85" s="10">
        <v>12</v>
      </c>
      <c r="C85" s="10">
        <v>256.60022412144298</v>
      </c>
      <c r="E85" s="10">
        <v>2004</v>
      </c>
      <c r="F85" s="10">
        <v>12</v>
      </c>
      <c r="G85" s="10">
        <v>256.59646007542398</v>
      </c>
    </row>
    <row r="86" spans="1:7" x14ac:dyDescent="0.25">
      <c r="A86" s="10">
        <v>2005</v>
      </c>
      <c r="B86" s="10">
        <v>1</v>
      </c>
      <c r="C86" s="10">
        <v>257.03319493315098</v>
      </c>
      <c r="E86" s="10">
        <v>2005</v>
      </c>
      <c r="F86" s="10">
        <v>1</v>
      </c>
      <c r="G86" s="10">
        <v>257.14730504473698</v>
      </c>
    </row>
    <row r="87" spans="1:7" x14ac:dyDescent="0.25">
      <c r="A87" s="10">
        <v>2005</v>
      </c>
      <c r="B87" s="10">
        <v>2</v>
      </c>
      <c r="C87" s="10">
        <v>258.63278473500901</v>
      </c>
      <c r="E87" s="10">
        <v>2005</v>
      </c>
      <c r="F87" s="10">
        <v>2</v>
      </c>
      <c r="G87" s="10">
        <v>258.64929378666</v>
      </c>
    </row>
    <row r="88" spans="1:7" x14ac:dyDescent="0.25">
      <c r="A88" s="10">
        <v>2005</v>
      </c>
      <c r="B88" s="10">
        <v>3</v>
      </c>
      <c r="C88" s="10">
        <v>242.574699704659</v>
      </c>
      <c r="E88" s="10">
        <v>2005</v>
      </c>
      <c r="F88" s="10">
        <v>3</v>
      </c>
      <c r="G88" s="10">
        <v>242.09381683378399</v>
      </c>
    </row>
    <row r="89" spans="1:7" x14ac:dyDescent="0.25">
      <c r="A89" s="10">
        <v>2005</v>
      </c>
      <c r="B89" s="10">
        <v>4</v>
      </c>
      <c r="C89" s="10">
        <v>281.02850135656797</v>
      </c>
      <c r="E89" s="10">
        <v>2005</v>
      </c>
      <c r="F89" s="10">
        <v>4</v>
      </c>
      <c r="G89" s="10">
        <v>281.51275387062299</v>
      </c>
    </row>
    <row r="90" spans="1:7" x14ac:dyDescent="0.25">
      <c r="A90" s="10">
        <v>2005</v>
      </c>
      <c r="B90" s="10">
        <v>5</v>
      </c>
      <c r="C90" s="10">
        <v>280.24276939262199</v>
      </c>
      <c r="E90" s="10">
        <v>2005</v>
      </c>
      <c r="F90" s="10">
        <v>5</v>
      </c>
      <c r="G90" s="10">
        <v>280.24851321714499</v>
      </c>
    </row>
    <row r="91" spans="1:7" x14ac:dyDescent="0.25">
      <c r="A91" s="10">
        <v>2005</v>
      </c>
      <c r="B91" s="10">
        <v>6</v>
      </c>
      <c r="C91" s="10">
        <v>263.33843814096502</v>
      </c>
      <c r="E91" s="10">
        <v>2005</v>
      </c>
      <c r="F91" s="10">
        <v>6</v>
      </c>
      <c r="G91" s="10">
        <v>263.312860767323</v>
      </c>
    </row>
    <row r="92" spans="1:7" x14ac:dyDescent="0.25">
      <c r="A92" s="10">
        <v>2005</v>
      </c>
      <c r="B92" s="10">
        <v>7</v>
      </c>
      <c r="C92" s="10">
        <v>261.28794607735398</v>
      </c>
      <c r="E92" s="10">
        <v>2005</v>
      </c>
      <c r="F92" s="10">
        <v>7</v>
      </c>
      <c r="G92" s="10">
        <v>261.37513537259798</v>
      </c>
    </row>
    <row r="93" spans="1:7" x14ac:dyDescent="0.25">
      <c r="A93" s="10">
        <v>2005</v>
      </c>
      <c r="B93" s="10">
        <v>8</v>
      </c>
      <c r="C93" s="10">
        <v>260.57256114431698</v>
      </c>
      <c r="E93" s="10">
        <v>2005</v>
      </c>
      <c r="F93" s="10">
        <v>8</v>
      </c>
      <c r="G93" s="10">
        <v>260.378510068732</v>
      </c>
    </row>
    <row r="94" spans="1:7" x14ac:dyDescent="0.25">
      <c r="A94" s="10">
        <v>2005</v>
      </c>
      <c r="B94" s="10">
        <v>9</v>
      </c>
      <c r="C94" s="10">
        <v>261.37084900558</v>
      </c>
      <c r="E94" s="10">
        <v>2005</v>
      </c>
      <c r="F94" s="10">
        <v>9</v>
      </c>
      <c r="G94" s="10">
        <v>261.344015746568</v>
      </c>
    </row>
    <row r="95" spans="1:7" x14ac:dyDescent="0.25">
      <c r="A95" s="10">
        <v>2005</v>
      </c>
      <c r="B95" s="10">
        <v>10</v>
      </c>
      <c r="C95" s="10">
        <v>266.46012292532401</v>
      </c>
      <c r="E95" s="10">
        <v>2005</v>
      </c>
      <c r="F95" s="10">
        <v>10</v>
      </c>
      <c r="G95" s="10">
        <v>266.53807405820498</v>
      </c>
    </row>
    <row r="96" spans="1:7" x14ac:dyDescent="0.25">
      <c r="A96" s="10">
        <v>2005</v>
      </c>
      <c r="B96" s="10">
        <v>11</v>
      </c>
      <c r="C96" s="10">
        <v>260.85122950089402</v>
      </c>
      <c r="E96" s="10">
        <v>2005</v>
      </c>
      <c r="F96" s="10">
        <v>11</v>
      </c>
      <c r="G96" s="10">
        <v>260.75697973860298</v>
      </c>
    </row>
    <row r="97" spans="1:7" x14ac:dyDescent="0.25">
      <c r="A97" s="10">
        <v>2005</v>
      </c>
      <c r="B97" s="10">
        <v>12</v>
      </c>
      <c r="C97" s="10">
        <v>258.912971603774</v>
      </c>
      <c r="E97" s="10">
        <v>2005</v>
      </c>
      <c r="F97" s="10">
        <v>12</v>
      </c>
      <c r="G97" s="10">
        <v>259.03634539410598</v>
      </c>
    </row>
    <row r="98" spans="1:7" x14ac:dyDescent="0.25">
      <c r="A98" s="10">
        <v>2006</v>
      </c>
      <c r="B98" s="10">
        <v>1</v>
      </c>
      <c r="C98" s="10">
        <v>260.16209045781801</v>
      </c>
      <c r="E98" s="10">
        <v>2006</v>
      </c>
      <c r="F98" s="10">
        <v>1</v>
      </c>
      <c r="G98" s="10">
        <v>260.14550735324798</v>
      </c>
    </row>
    <row r="99" spans="1:7" x14ac:dyDescent="0.25">
      <c r="A99" s="10">
        <v>2006</v>
      </c>
      <c r="B99" s="10">
        <v>2</v>
      </c>
      <c r="C99" s="10">
        <v>249.876262647971</v>
      </c>
      <c r="E99" s="10">
        <v>2006</v>
      </c>
      <c r="F99" s="10">
        <v>2</v>
      </c>
      <c r="G99" s="10">
        <v>249.86119652747001</v>
      </c>
    </row>
    <row r="100" spans="1:7" x14ac:dyDescent="0.25">
      <c r="A100" s="10">
        <v>2006</v>
      </c>
      <c r="B100" s="10">
        <v>3</v>
      </c>
      <c r="C100" s="10">
        <v>250.014160155448</v>
      </c>
      <c r="E100" s="10">
        <v>2006</v>
      </c>
      <c r="F100" s="10">
        <v>3</v>
      </c>
      <c r="G100" s="10">
        <v>250.15220325855199</v>
      </c>
    </row>
    <row r="101" spans="1:7" x14ac:dyDescent="0.25">
      <c r="A101" s="10">
        <v>2006</v>
      </c>
      <c r="B101" s="10">
        <v>4</v>
      </c>
      <c r="C101" s="10">
        <v>231.47823205032401</v>
      </c>
      <c r="E101" s="10">
        <v>2006</v>
      </c>
      <c r="F101" s="10">
        <v>4</v>
      </c>
      <c r="G101" s="10">
        <v>231.58854686871501</v>
      </c>
    </row>
    <row r="102" spans="1:7" x14ac:dyDescent="0.25">
      <c r="A102" s="10">
        <v>2006</v>
      </c>
      <c r="B102" s="10">
        <v>5</v>
      </c>
      <c r="C102" s="10">
        <v>225.68317934697899</v>
      </c>
      <c r="E102" s="10">
        <v>2006</v>
      </c>
      <c r="F102" s="10">
        <v>5</v>
      </c>
      <c r="G102" s="10">
        <v>225.57649640758601</v>
      </c>
    </row>
    <row r="103" spans="1:7" x14ac:dyDescent="0.25">
      <c r="A103" s="10">
        <v>2006</v>
      </c>
      <c r="B103" s="10">
        <v>6</v>
      </c>
      <c r="C103" s="10">
        <v>238.600731662486</v>
      </c>
      <c r="E103" s="10">
        <v>2006</v>
      </c>
      <c r="F103" s="10">
        <v>6</v>
      </c>
      <c r="G103" s="10">
        <v>238.55317946461199</v>
      </c>
    </row>
    <row r="104" spans="1:7" x14ac:dyDescent="0.25">
      <c r="A104" s="10">
        <v>2006</v>
      </c>
      <c r="B104" s="10">
        <v>7</v>
      </c>
      <c r="C104" s="10">
        <v>249.91501401676101</v>
      </c>
      <c r="E104" s="10">
        <v>2006</v>
      </c>
      <c r="F104" s="10">
        <v>7</v>
      </c>
      <c r="G104" s="10">
        <v>249.97491337492099</v>
      </c>
    </row>
    <row r="105" spans="1:7" x14ac:dyDescent="0.25">
      <c r="A105" s="10">
        <v>2006</v>
      </c>
      <c r="B105" s="10">
        <v>8</v>
      </c>
      <c r="C105" s="10">
        <v>273.81423130789898</v>
      </c>
      <c r="E105" s="10">
        <v>2006</v>
      </c>
      <c r="F105" s="10">
        <v>8</v>
      </c>
      <c r="G105" s="10">
        <v>273.59741171427601</v>
      </c>
    </row>
    <row r="106" spans="1:7" x14ac:dyDescent="0.25">
      <c r="A106" s="10">
        <v>2006</v>
      </c>
      <c r="B106" s="10">
        <v>9</v>
      </c>
      <c r="C106" s="10">
        <v>272.72505747459599</v>
      </c>
      <c r="E106" s="10">
        <v>2006</v>
      </c>
      <c r="F106" s="10">
        <v>9</v>
      </c>
      <c r="G106" s="10">
        <v>272.80265827822001</v>
      </c>
    </row>
    <row r="107" spans="1:7" x14ac:dyDescent="0.25">
      <c r="A107" s="10">
        <v>2006</v>
      </c>
      <c r="B107" s="10">
        <v>10</v>
      </c>
      <c r="C107" s="10">
        <v>269.70051286199703</v>
      </c>
      <c r="E107" s="10">
        <v>2006</v>
      </c>
      <c r="F107" s="10">
        <v>10</v>
      </c>
      <c r="G107" s="10">
        <v>269.67764467771002</v>
      </c>
    </row>
    <row r="108" spans="1:7" x14ac:dyDescent="0.25">
      <c r="A108" s="10">
        <v>2006</v>
      </c>
      <c r="B108" s="10">
        <v>11</v>
      </c>
      <c r="C108" s="10">
        <v>270.459327862517</v>
      </c>
      <c r="E108" s="10">
        <v>2006</v>
      </c>
      <c r="F108" s="10">
        <v>11</v>
      </c>
      <c r="G108" s="10">
        <v>270.35406262669602</v>
      </c>
    </row>
    <row r="109" spans="1:7" x14ac:dyDescent="0.25">
      <c r="A109" s="10">
        <v>2006</v>
      </c>
      <c r="B109" s="10">
        <v>12</v>
      </c>
      <c r="C109" s="10">
        <v>250.117702529323</v>
      </c>
      <c r="E109" s="10">
        <v>2006</v>
      </c>
      <c r="F109" s="10">
        <v>12</v>
      </c>
      <c r="G109" s="10">
        <v>250.329712812964</v>
      </c>
    </row>
    <row r="110" spans="1:7" x14ac:dyDescent="0.25">
      <c r="A110" s="10">
        <v>2007</v>
      </c>
      <c r="B110" s="10">
        <v>1</v>
      </c>
      <c r="C110" s="10">
        <v>262.33904785340201</v>
      </c>
      <c r="E110" s="10">
        <v>2007</v>
      </c>
      <c r="F110" s="10">
        <v>1</v>
      </c>
      <c r="G110" s="10">
        <v>262.20227074942602</v>
      </c>
    </row>
    <row r="111" spans="1:7" x14ac:dyDescent="0.25">
      <c r="A111" s="10">
        <v>2007</v>
      </c>
      <c r="B111" s="10">
        <v>2</v>
      </c>
      <c r="C111" s="10">
        <v>263.50789150295401</v>
      </c>
      <c r="E111" s="10">
        <v>2007</v>
      </c>
      <c r="F111" s="10">
        <v>2</v>
      </c>
      <c r="G111" s="10">
        <v>263.47923096901201</v>
      </c>
    </row>
    <row r="112" spans="1:7" x14ac:dyDescent="0.25">
      <c r="A112" s="10">
        <v>2007</v>
      </c>
      <c r="B112" s="10">
        <v>3</v>
      </c>
      <c r="C112" s="10">
        <v>258.81988594940901</v>
      </c>
      <c r="E112" s="10">
        <v>2007</v>
      </c>
      <c r="F112" s="10">
        <v>3</v>
      </c>
      <c r="G112" s="10">
        <v>259.16386101630098</v>
      </c>
    </row>
    <row r="113" spans="1:7" x14ac:dyDescent="0.25">
      <c r="A113" s="10">
        <v>2007</v>
      </c>
      <c r="B113" s="10">
        <v>4</v>
      </c>
      <c r="C113" s="10">
        <v>259.44327892961297</v>
      </c>
      <c r="E113" s="10">
        <v>2007</v>
      </c>
      <c r="F113" s="10">
        <v>4</v>
      </c>
      <c r="G113" s="10">
        <v>259.44575615732703</v>
      </c>
    </row>
    <row r="114" spans="1:7" x14ac:dyDescent="0.25">
      <c r="A114" s="10">
        <v>2007</v>
      </c>
      <c r="B114" s="10">
        <v>5</v>
      </c>
      <c r="C114" s="10">
        <v>259.05107770244001</v>
      </c>
      <c r="E114" s="10">
        <v>2007</v>
      </c>
      <c r="F114" s="10">
        <v>5</v>
      </c>
      <c r="G114" s="10">
        <v>258.93640343335301</v>
      </c>
    </row>
    <row r="115" spans="1:7" x14ac:dyDescent="0.25">
      <c r="A115" s="10">
        <v>2007</v>
      </c>
      <c r="B115" s="10">
        <v>6</v>
      </c>
      <c r="C115" s="10">
        <v>271.46572849502201</v>
      </c>
      <c r="E115" s="10">
        <v>2007</v>
      </c>
      <c r="F115" s="10">
        <v>6</v>
      </c>
      <c r="G115" s="10">
        <v>271.52252051972499</v>
      </c>
    </row>
    <row r="116" spans="1:7" x14ac:dyDescent="0.25">
      <c r="A116" s="10">
        <v>2007</v>
      </c>
      <c r="B116" s="10">
        <v>7</v>
      </c>
      <c r="C116" s="10">
        <v>274.09267654882302</v>
      </c>
      <c r="E116" s="10">
        <v>2007</v>
      </c>
      <c r="F116" s="10">
        <v>7</v>
      </c>
      <c r="G116" s="10">
        <v>274.04577051037103</v>
      </c>
    </row>
    <row r="117" spans="1:7" x14ac:dyDescent="0.25">
      <c r="A117" s="10">
        <v>2007</v>
      </c>
      <c r="B117" s="10">
        <v>8</v>
      </c>
      <c r="C117" s="10">
        <v>275.70765895238998</v>
      </c>
      <c r="E117" s="10">
        <v>2007</v>
      </c>
      <c r="F117" s="10">
        <v>8</v>
      </c>
      <c r="G117" s="10">
        <v>275.46334282831799</v>
      </c>
    </row>
    <row r="118" spans="1:7" x14ac:dyDescent="0.25">
      <c r="A118" s="10">
        <v>2007</v>
      </c>
      <c r="B118" s="10">
        <v>9</v>
      </c>
      <c r="C118" s="10">
        <v>248.586530423966</v>
      </c>
      <c r="E118" s="10">
        <v>2007</v>
      </c>
      <c r="F118" s="10">
        <v>9</v>
      </c>
      <c r="G118" s="10">
        <v>248.75845037613701</v>
      </c>
    </row>
    <row r="119" spans="1:7" x14ac:dyDescent="0.25">
      <c r="A119" s="10">
        <v>2007</v>
      </c>
      <c r="B119" s="10">
        <v>10</v>
      </c>
      <c r="C119" s="10">
        <v>272.03805239136699</v>
      </c>
      <c r="E119" s="10">
        <v>2007</v>
      </c>
      <c r="F119" s="10">
        <v>10</v>
      </c>
      <c r="G119" s="10">
        <v>271.91804041571999</v>
      </c>
    </row>
    <row r="120" spans="1:7" x14ac:dyDescent="0.25">
      <c r="A120" s="10">
        <v>2007</v>
      </c>
      <c r="B120" s="10">
        <v>11</v>
      </c>
      <c r="C120" s="10">
        <v>294.28981070352802</v>
      </c>
      <c r="E120" s="10">
        <v>2007</v>
      </c>
      <c r="F120" s="10">
        <v>11</v>
      </c>
      <c r="G120" s="10">
        <v>294.17297507109998</v>
      </c>
    </row>
    <row r="121" spans="1:7" x14ac:dyDescent="0.25">
      <c r="A121" s="10">
        <v>2007</v>
      </c>
      <c r="B121" s="10">
        <v>12</v>
      </c>
      <c r="C121" s="10">
        <v>283.25720430657998</v>
      </c>
      <c r="E121" s="10">
        <v>2007</v>
      </c>
      <c r="F121" s="10">
        <v>12</v>
      </c>
      <c r="G121" s="10">
        <v>283.471077030245</v>
      </c>
    </row>
    <row r="122" spans="1:7" x14ac:dyDescent="0.25">
      <c r="A122" s="10">
        <v>2008</v>
      </c>
      <c r="B122" s="10">
        <v>1</v>
      </c>
      <c r="C122" s="10">
        <v>278.81942103243</v>
      </c>
      <c r="E122" s="10">
        <v>2008</v>
      </c>
      <c r="F122" s="10">
        <v>1</v>
      </c>
      <c r="G122" s="10">
        <v>278.67199240918001</v>
      </c>
    </row>
    <row r="123" spans="1:7" x14ac:dyDescent="0.25">
      <c r="A123" s="10">
        <v>2008</v>
      </c>
      <c r="B123" s="10">
        <v>2</v>
      </c>
      <c r="C123" s="10">
        <v>284.10814851311602</v>
      </c>
      <c r="E123" s="10">
        <v>2008</v>
      </c>
      <c r="F123" s="10">
        <v>2</v>
      </c>
      <c r="G123" s="10">
        <v>283.94735650863697</v>
      </c>
    </row>
    <row r="124" spans="1:7" x14ac:dyDescent="0.25">
      <c r="A124" s="10">
        <v>2008</v>
      </c>
      <c r="B124" s="10">
        <v>3</v>
      </c>
      <c r="C124" s="10">
        <v>170.67315308755801</v>
      </c>
      <c r="E124" s="10">
        <v>2008</v>
      </c>
      <c r="F124" s="10">
        <v>3</v>
      </c>
      <c r="G124" s="10">
        <v>170.62291676114901</v>
      </c>
    </row>
    <row r="125" spans="1:7" x14ac:dyDescent="0.25">
      <c r="A125" s="10">
        <v>2008</v>
      </c>
      <c r="B125" s="10">
        <v>4</v>
      </c>
      <c r="C125" s="10">
        <v>299.93524502980301</v>
      </c>
      <c r="E125" s="10">
        <v>2008</v>
      </c>
      <c r="F125" s="10">
        <v>4</v>
      </c>
      <c r="G125" s="10">
        <v>300.35039420347698</v>
      </c>
    </row>
    <row r="126" spans="1:7" x14ac:dyDescent="0.25">
      <c r="A126" s="10">
        <v>2008</v>
      </c>
      <c r="B126" s="10">
        <v>5</v>
      </c>
      <c r="C126" s="10">
        <v>237.69059781155201</v>
      </c>
      <c r="E126" s="10">
        <v>2008</v>
      </c>
      <c r="F126" s="10">
        <v>5</v>
      </c>
      <c r="G126" s="10">
        <v>237.70217566709701</v>
      </c>
    </row>
    <row r="127" spans="1:7" x14ac:dyDescent="0.25">
      <c r="A127" s="10">
        <v>2008</v>
      </c>
      <c r="B127" s="10">
        <v>6</v>
      </c>
      <c r="C127" s="10">
        <v>226.40836547291499</v>
      </c>
      <c r="E127" s="10">
        <v>2008</v>
      </c>
      <c r="F127" s="10">
        <v>6</v>
      </c>
      <c r="G127" s="10">
        <v>226.462549306754</v>
      </c>
    </row>
    <row r="128" spans="1:7" x14ac:dyDescent="0.25">
      <c r="A128" s="10">
        <v>2008</v>
      </c>
      <c r="B128" s="10">
        <v>7</v>
      </c>
      <c r="C128" s="10">
        <v>281.07394281002399</v>
      </c>
      <c r="E128" s="10">
        <v>2008</v>
      </c>
      <c r="F128" s="10">
        <v>7</v>
      </c>
      <c r="G128" s="10">
        <v>280.92022031123901</v>
      </c>
    </row>
    <row r="129" spans="1:7" x14ac:dyDescent="0.25">
      <c r="A129" s="10">
        <v>2008</v>
      </c>
      <c r="B129" s="10">
        <v>8</v>
      </c>
      <c r="C129" s="10">
        <v>277.28744539821099</v>
      </c>
      <c r="E129" s="10">
        <v>2008</v>
      </c>
      <c r="F129" s="10">
        <v>8</v>
      </c>
      <c r="G129" s="10">
        <v>277.260523301327</v>
      </c>
    </row>
    <row r="130" spans="1:7" x14ac:dyDescent="0.25">
      <c r="A130" s="10">
        <v>2008</v>
      </c>
      <c r="B130" s="10">
        <v>9</v>
      </c>
      <c r="C130" s="10">
        <v>278.425542604356</v>
      </c>
      <c r="E130" s="10">
        <v>2008</v>
      </c>
      <c r="F130" s="10">
        <v>9</v>
      </c>
      <c r="G130" s="10">
        <v>278.380323383757</v>
      </c>
    </row>
    <row r="131" spans="1:7" x14ac:dyDescent="0.25">
      <c r="A131" s="10">
        <v>2008</v>
      </c>
      <c r="B131" s="10">
        <v>10</v>
      </c>
      <c r="C131" s="10">
        <v>264.54754732184</v>
      </c>
      <c r="E131" s="10">
        <v>2008</v>
      </c>
      <c r="F131" s="10">
        <v>10</v>
      </c>
      <c r="G131" s="10">
        <v>264.43015431220101</v>
      </c>
    </row>
    <row r="132" spans="1:7" x14ac:dyDescent="0.25">
      <c r="A132" s="10">
        <v>2008</v>
      </c>
      <c r="B132" s="10">
        <v>11</v>
      </c>
      <c r="C132" s="10">
        <v>260.75054766113101</v>
      </c>
      <c r="E132" s="10">
        <v>2008</v>
      </c>
      <c r="F132" s="10">
        <v>11</v>
      </c>
      <c r="G132" s="10">
        <v>260.84062209871001</v>
      </c>
    </row>
    <row r="133" spans="1:7" x14ac:dyDescent="0.25">
      <c r="A133" s="10">
        <v>2008</v>
      </c>
      <c r="B133" s="10">
        <v>12</v>
      </c>
      <c r="C133" s="10">
        <v>267.09487188748898</v>
      </c>
      <c r="E133" s="10">
        <v>2008</v>
      </c>
      <c r="F133" s="10">
        <v>12</v>
      </c>
      <c r="G133" s="10">
        <v>267.07138703605398</v>
      </c>
    </row>
    <row r="134" spans="1:7" x14ac:dyDescent="0.25">
      <c r="A134" s="10">
        <v>2009</v>
      </c>
      <c r="B134" s="10">
        <v>1</v>
      </c>
      <c r="C134" s="10">
        <v>280.39094007274798</v>
      </c>
      <c r="E134" s="10">
        <v>2009</v>
      </c>
      <c r="F134" s="10">
        <v>1</v>
      </c>
      <c r="G134" s="10">
        <v>280.348798540811</v>
      </c>
    </row>
    <row r="135" spans="1:7" x14ac:dyDescent="0.25">
      <c r="A135" s="10">
        <v>2009</v>
      </c>
      <c r="B135" s="10">
        <v>2</v>
      </c>
      <c r="C135" s="10">
        <v>278.54873843786697</v>
      </c>
      <c r="E135" s="10">
        <v>2009</v>
      </c>
      <c r="F135" s="10">
        <v>2</v>
      </c>
      <c r="G135" s="10">
        <v>278.542603685176</v>
      </c>
    </row>
    <row r="136" spans="1:7" x14ac:dyDescent="0.25">
      <c r="A136" s="10">
        <v>2009</v>
      </c>
      <c r="B136" s="10">
        <v>3</v>
      </c>
      <c r="C136" s="10">
        <v>265.09950348576899</v>
      </c>
      <c r="E136" s="10">
        <v>2009</v>
      </c>
      <c r="F136" s="10">
        <v>3</v>
      </c>
      <c r="G136" s="10">
        <v>265.51175835135399</v>
      </c>
    </row>
    <row r="137" spans="1:7" x14ac:dyDescent="0.25">
      <c r="A137" s="10">
        <v>2009</v>
      </c>
      <c r="B137" s="10">
        <v>4</v>
      </c>
      <c r="C137" s="10">
        <v>294.16014661279399</v>
      </c>
      <c r="E137" s="10">
        <v>2009</v>
      </c>
      <c r="F137" s="10">
        <v>4</v>
      </c>
      <c r="G137" s="10">
        <v>293.97116557793998</v>
      </c>
    </row>
    <row r="138" spans="1:7" x14ac:dyDescent="0.25">
      <c r="A138" s="10">
        <v>2009</v>
      </c>
      <c r="B138" s="10">
        <v>5</v>
      </c>
      <c r="C138" s="10">
        <v>273.00654794026099</v>
      </c>
      <c r="E138" s="10">
        <v>2009</v>
      </c>
      <c r="F138" s="10">
        <v>5</v>
      </c>
      <c r="G138" s="10">
        <v>273.13782419740102</v>
      </c>
    </row>
    <row r="139" spans="1:7" x14ac:dyDescent="0.25">
      <c r="A139" s="10">
        <v>2009</v>
      </c>
      <c r="B139" s="10">
        <v>6</v>
      </c>
      <c r="C139" s="10">
        <v>300.91044007727203</v>
      </c>
      <c r="E139" s="10">
        <v>2009</v>
      </c>
      <c r="F139" s="10">
        <v>6</v>
      </c>
      <c r="G139" s="10">
        <v>300.87286129612602</v>
      </c>
    </row>
    <row r="140" spans="1:7" x14ac:dyDescent="0.25">
      <c r="A140" s="10">
        <v>2009</v>
      </c>
      <c r="B140" s="10">
        <v>7</v>
      </c>
      <c r="C140" s="10">
        <v>290.70160932700298</v>
      </c>
      <c r="E140" s="10">
        <v>2009</v>
      </c>
      <c r="F140" s="10">
        <v>7</v>
      </c>
      <c r="G140" s="10">
        <v>290.563382487708</v>
      </c>
    </row>
    <row r="141" spans="1:7" x14ac:dyDescent="0.25">
      <c r="A141" s="10">
        <v>2009</v>
      </c>
      <c r="B141" s="10">
        <v>8</v>
      </c>
      <c r="C141" s="10">
        <v>289.19287479373099</v>
      </c>
      <c r="E141" s="10">
        <v>2009</v>
      </c>
      <c r="F141" s="10">
        <v>8</v>
      </c>
      <c r="G141" s="10">
        <v>289.16384745062697</v>
      </c>
    </row>
    <row r="142" spans="1:7" x14ac:dyDescent="0.25">
      <c r="A142" s="10">
        <v>2009</v>
      </c>
      <c r="B142" s="10">
        <v>9</v>
      </c>
      <c r="C142" s="10">
        <v>266.10100338368898</v>
      </c>
      <c r="E142" s="10">
        <v>2009</v>
      </c>
      <c r="F142" s="10">
        <v>9</v>
      </c>
      <c r="G142" s="10">
        <v>266.04917144322599</v>
      </c>
    </row>
    <row r="143" spans="1:7" x14ac:dyDescent="0.25">
      <c r="A143" s="10">
        <v>2009</v>
      </c>
      <c r="B143" s="10">
        <v>10</v>
      </c>
      <c r="C143" s="10">
        <v>294.190156630915</v>
      </c>
      <c r="E143" s="10">
        <v>2009</v>
      </c>
      <c r="F143" s="10">
        <v>10</v>
      </c>
      <c r="G143" s="10">
        <v>294.18205678574202</v>
      </c>
    </row>
    <row r="144" spans="1:7" x14ac:dyDescent="0.25">
      <c r="A144" s="10">
        <v>2009</v>
      </c>
      <c r="B144" s="10">
        <v>11</v>
      </c>
      <c r="C144" s="10">
        <v>280.12916638450503</v>
      </c>
      <c r="E144" s="10">
        <v>2009</v>
      </c>
      <c r="F144" s="10">
        <v>11</v>
      </c>
      <c r="G144" s="10">
        <v>280.13160053381199</v>
      </c>
    </row>
    <row r="145" spans="1:7" x14ac:dyDescent="0.25">
      <c r="A145" s="10">
        <v>2009</v>
      </c>
      <c r="B145" s="10">
        <v>12</v>
      </c>
      <c r="C145" s="10">
        <v>265.18104383413601</v>
      </c>
      <c r="E145" s="10">
        <v>2009</v>
      </c>
      <c r="F145" s="10">
        <v>12</v>
      </c>
      <c r="G145" s="10">
        <v>265.13284865335697</v>
      </c>
    </row>
    <row r="146" spans="1:7" x14ac:dyDescent="0.25">
      <c r="A146" s="10">
        <v>2010</v>
      </c>
      <c r="B146" s="10">
        <v>1</v>
      </c>
      <c r="C146" s="10">
        <v>248.34807886618199</v>
      </c>
      <c r="E146" s="10">
        <v>2010</v>
      </c>
      <c r="F146" s="10">
        <v>1</v>
      </c>
      <c r="G146" s="10">
        <v>248.40709598741</v>
      </c>
    </row>
    <row r="147" spans="1:7" x14ac:dyDescent="0.25">
      <c r="A147" s="10">
        <v>2010</v>
      </c>
      <c r="B147" s="10">
        <v>2</v>
      </c>
      <c r="C147" s="10">
        <v>230.16640496220199</v>
      </c>
      <c r="E147" s="10">
        <v>2010</v>
      </c>
      <c r="F147" s="10">
        <v>2</v>
      </c>
      <c r="G147" s="10">
        <v>230.16468551646599</v>
      </c>
    </row>
    <row r="148" spans="1:7" x14ac:dyDescent="0.25">
      <c r="A148" s="10">
        <v>2010</v>
      </c>
      <c r="B148" s="10">
        <v>3</v>
      </c>
      <c r="C148" s="10">
        <v>225.29611244396301</v>
      </c>
      <c r="E148" s="10">
        <v>2010</v>
      </c>
      <c r="F148" s="10">
        <v>3</v>
      </c>
      <c r="G148" s="10">
        <v>225.577465046398</v>
      </c>
    </row>
    <row r="149" spans="1:7" x14ac:dyDescent="0.25">
      <c r="A149" s="10">
        <v>2010</v>
      </c>
      <c r="B149" s="10">
        <v>4</v>
      </c>
      <c r="C149" s="10">
        <v>218.65285862323299</v>
      </c>
      <c r="E149" s="10">
        <v>2010</v>
      </c>
      <c r="F149" s="10">
        <v>4</v>
      </c>
      <c r="G149" s="10">
        <v>218.46540404381199</v>
      </c>
    </row>
    <row r="150" spans="1:7" x14ac:dyDescent="0.25">
      <c r="A150" s="10">
        <v>2010</v>
      </c>
      <c r="B150" s="10">
        <v>5</v>
      </c>
      <c r="C150" s="10">
        <v>219.98735975976999</v>
      </c>
      <c r="E150" s="10">
        <v>2010</v>
      </c>
      <c r="F150" s="10">
        <v>5</v>
      </c>
      <c r="G150" s="10">
        <v>220.141003458574</v>
      </c>
    </row>
    <row r="151" spans="1:7" x14ac:dyDescent="0.25">
      <c r="A151" s="10">
        <v>2010</v>
      </c>
      <c r="B151" s="10">
        <v>6</v>
      </c>
      <c r="C151" s="10">
        <v>211.17482154389</v>
      </c>
      <c r="E151" s="10">
        <v>2010</v>
      </c>
      <c r="F151" s="10">
        <v>6</v>
      </c>
      <c r="G151" s="10">
        <v>211.12591037172001</v>
      </c>
    </row>
    <row r="152" spans="1:7" x14ac:dyDescent="0.25">
      <c r="A152" s="10">
        <v>2010</v>
      </c>
      <c r="B152" s="10">
        <v>7</v>
      </c>
      <c r="C152" s="10">
        <v>215.36381267191399</v>
      </c>
      <c r="E152" s="10">
        <v>2010</v>
      </c>
      <c r="F152" s="10">
        <v>7</v>
      </c>
      <c r="G152" s="10">
        <v>215.33835117834499</v>
      </c>
    </row>
    <row r="153" spans="1:7" x14ac:dyDescent="0.25">
      <c r="A153" s="10">
        <v>2010</v>
      </c>
      <c r="B153" s="10">
        <v>8</v>
      </c>
      <c r="C153" s="10">
        <v>227.948303115171</v>
      </c>
      <c r="E153" s="10">
        <v>2010</v>
      </c>
      <c r="F153" s="10">
        <v>8</v>
      </c>
      <c r="G153" s="10">
        <v>227.82900720248</v>
      </c>
    </row>
    <row r="154" spans="1:7" x14ac:dyDescent="0.25">
      <c r="A154" s="10">
        <v>2010</v>
      </c>
      <c r="B154" s="10">
        <v>9</v>
      </c>
      <c r="C154" s="10">
        <v>210.63161063397601</v>
      </c>
      <c r="E154" s="10">
        <v>2010</v>
      </c>
      <c r="F154" s="10">
        <v>9</v>
      </c>
      <c r="G154" s="10">
        <v>210.56737968022699</v>
      </c>
    </row>
    <row r="155" spans="1:7" x14ac:dyDescent="0.25">
      <c r="A155" s="10">
        <v>2010</v>
      </c>
      <c r="B155" s="10">
        <v>10</v>
      </c>
      <c r="C155" s="10">
        <v>205.173976056855</v>
      </c>
      <c r="E155" s="10">
        <v>2010</v>
      </c>
      <c r="F155" s="10">
        <v>10</v>
      </c>
      <c r="G155" s="10">
        <v>205.276711111081</v>
      </c>
    </row>
    <row r="156" spans="1:7" x14ac:dyDescent="0.25">
      <c r="A156" s="10">
        <v>2010</v>
      </c>
      <c r="B156" s="10">
        <v>11</v>
      </c>
      <c r="C156" s="10">
        <v>209.30741661455599</v>
      </c>
      <c r="E156" s="10">
        <v>2010</v>
      </c>
      <c r="F156" s="10">
        <v>11</v>
      </c>
      <c r="G156" s="10">
        <v>209.23251429587901</v>
      </c>
    </row>
    <row r="157" spans="1:7" x14ac:dyDescent="0.25">
      <c r="A157" s="10">
        <v>2010</v>
      </c>
      <c r="B157" s="10">
        <v>12</v>
      </c>
      <c r="C157" s="10">
        <v>204.544871047002</v>
      </c>
      <c r="E157" s="10">
        <v>2010</v>
      </c>
      <c r="F157" s="10">
        <v>12</v>
      </c>
      <c r="G157" s="10">
        <v>204.464333155888</v>
      </c>
    </row>
    <row r="158" spans="1:7" x14ac:dyDescent="0.25">
      <c r="A158" s="10">
        <v>2011</v>
      </c>
      <c r="B158" s="10">
        <v>1</v>
      </c>
      <c r="C158" s="10">
        <v>210.86427885640899</v>
      </c>
      <c r="E158" s="10">
        <v>2011</v>
      </c>
      <c r="F158" s="10">
        <v>1</v>
      </c>
      <c r="G158" s="10">
        <v>210.94381787999501</v>
      </c>
    </row>
    <row r="159" spans="1:7" x14ac:dyDescent="0.25">
      <c r="A159" s="10">
        <v>2011</v>
      </c>
      <c r="B159" s="10">
        <v>2</v>
      </c>
      <c r="C159" s="10">
        <v>216.829576365458</v>
      </c>
      <c r="E159" s="10">
        <v>2011</v>
      </c>
      <c r="F159" s="10">
        <v>2</v>
      </c>
      <c r="G159" s="10">
        <v>216.84973761794501</v>
      </c>
    </row>
    <row r="160" spans="1:7" x14ac:dyDescent="0.25">
      <c r="A160" s="10">
        <v>2011</v>
      </c>
      <c r="B160" s="10">
        <v>3</v>
      </c>
      <c r="C160" s="10">
        <v>211.074962804233</v>
      </c>
      <c r="E160" s="10">
        <v>2011</v>
      </c>
      <c r="F160" s="10">
        <v>3</v>
      </c>
      <c r="G160" s="10">
        <v>211.26565966339501</v>
      </c>
    </row>
    <row r="161" spans="1:7" x14ac:dyDescent="0.25">
      <c r="A161" s="10">
        <v>2011</v>
      </c>
      <c r="B161" s="10">
        <v>4</v>
      </c>
      <c r="C161" s="10">
        <v>207.76123159299499</v>
      </c>
      <c r="E161" s="10">
        <v>2011</v>
      </c>
      <c r="F161" s="10">
        <v>4</v>
      </c>
      <c r="G161" s="10">
        <v>207.69639539679</v>
      </c>
    </row>
    <row r="162" spans="1:7" x14ac:dyDescent="0.25">
      <c r="A162" s="10">
        <v>2011</v>
      </c>
      <c r="B162" s="10">
        <v>5</v>
      </c>
      <c r="C162" s="10">
        <v>208.721061396978</v>
      </c>
      <c r="E162" s="10">
        <v>2011</v>
      </c>
      <c r="F162" s="10">
        <v>5</v>
      </c>
      <c r="G162" s="10">
        <v>208.76762072212799</v>
      </c>
    </row>
    <row r="163" spans="1:7" x14ac:dyDescent="0.25">
      <c r="A163" s="10">
        <v>2011</v>
      </c>
      <c r="B163" s="10">
        <v>6</v>
      </c>
      <c r="C163" s="10">
        <v>204.17594802465399</v>
      </c>
      <c r="E163" s="10">
        <v>2011</v>
      </c>
      <c r="F163" s="10">
        <v>6</v>
      </c>
      <c r="G163" s="10">
        <v>204.15929748690999</v>
      </c>
    </row>
    <row r="164" spans="1:7" x14ac:dyDescent="0.25">
      <c r="A164" s="10">
        <v>2011</v>
      </c>
      <c r="B164" s="10">
        <v>7</v>
      </c>
      <c r="C164" s="10">
        <v>202.48912046907401</v>
      </c>
      <c r="E164" s="10">
        <v>2011</v>
      </c>
      <c r="F164" s="10">
        <v>7</v>
      </c>
      <c r="G164" s="10">
        <v>202.58819642080101</v>
      </c>
    </row>
    <row r="165" spans="1:7" x14ac:dyDescent="0.25">
      <c r="A165" s="10">
        <v>2011</v>
      </c>
      <c r="B165" s="10">
        <v>8</v>
      </c>
      <c r="C165" s="10">
        <v>205.30530819031199</v>
      </c>
      <c r="E165" s="10">
        <v>2011</v>
      </c>
      <c r="F165" s="10">
        <v>8</v>
      </c>
      <c r="G165" s="10">
        <v>205.06411441397401</v>
      </c>
    </row>
    <row r="166" spans="1:7" x14ac:dyDescent="0.25">
      <c r="A166" s="10">
        <v>2011</v>
      </c>
      <c r="B166" s="10">
        <v>9</v>
      </c>
      <c r="C166" s="10">
        <v>206.491092614434</v>
      </c>
      <c r="E166" s="10">
        <v>2011</v>
      </c>
      <c r="F166" s="10">
        <v>9</v>
      </c>
      <c r="G166" s="10">
        <v>206.41209949779801</v>
      </c>
    </row>
    <row r="167" spans="1:7" x14ac:dyDescent="0.25">
      <c r="A167" s="10">
        <v>2011</v>
      </c>
      <c r="B167" s="10">
        <v>10</v>
      </c>
      <c r="C167" s="10">
        <v>210.63063713807099</v>
      </c>
      <c r="E167" s="10">
        <v>2011</v>
      </c>
      <c r="F167" s="10">
        <v>10</v>
      </c>
      <c r="G167" s="10">
        <v>210.74322194193701</v>
      </c>
    </row>
    <row r="168" spans="1:7" x14ac:dyDescent="0.25">
      <c r="A168" s="10">
        <v>2011</v>
      </c>
      <c r="B168" s="10">
        <v>11</v>
      </c>
      <c r="C168" s="10">
        <v>205.51014814658899</v>
      </c>
      <c r="E168" s="10">
        <v>2011</v>
      </c>
      <c r="F168" s="10">
        <v>11</v>
      </c>
      <c r="G168" s="10">
        <v>205.458454808319</v>
      </c>
    </row>
    <row r="169" spans="1:7" x14ac:dyDescent="0.25">
      <c r="A169" s="10">
        <v>2011</v>
      </c>
      <c r="B169" s="10">
        <v>12</v>
      </c>
      <c r="C169" s="10">
        <v>216.77268325084299</v>
      </c>
      <c r="E169" s="10">
        <v>2011</v>
      </c>
      <c r="F169" s="10">
        <v>12</v>
      </c>
      <c r="G169" s="10">
        <v>216.787197416422</v>
      </c>
    </row>
    <row r="170" spans="1:7" x14ac:dyDescent="0.25">
      <c r="A170" s="10">
        <v>2012</v>
      </c>
      <c r="B170" s="10">
        <v>1</v>
      </c>
      <c r="C170" s="10">
        <v>216.060339637526</v>
      </c>
      <c r="E170" s="10">
        <v>2012</v>
      </c>
      <c r="F170" s="10">
        <v>1</v>
      </c>
      <c r="G170" s="10">
        <v>216.06378848581701</v>
      </c>
    </row>
    <row r="171" spans="1:7" x14ac:dyDescent="0.25">
      <c r="A171" s="10">
        <v>2012</v>
      </c>
      <c r="B171" s="10">
        <v>2</v>
      </c>
      <c r="C171" s="10">
        <v>217.377197667388</v>
      </c>
      <c r="E171" s="10">
        <v>2012</v>
      </c>
      <c r="F171" s="10">
        <v>2</v>
      </c>
      <c r="G171" s="10">
        <v>217.27954653528801</v>
      </c>
    </row>
    <row r="172" spans="1:7" x14ac:dyDescent="0.25">
      <c r="A172" s="10">
        <v>2012</v>
      </c>
      <c r="B172" s="10">
        <v>3</v>
      </c>
      <c r="C172" s="10">
        <v>218.04586716071901</v>
      </c>
      <c r="E172" s="10">
        <v>2012</v>
      </c>
      <c r="F172" s="10">
        <v>3</v>
      </c>
      <c r="G172" s="10">
        <v>218.242287649969</v>
      </c>
    </row>
    <row r="173" spans="1:7" x14ac:dyDescent="0.25">
      <c r="A173" s="10">
        <v>2012</v>
      </c>
      <c r="B173" s="10">
        <v>4</v>
      </c>
      <c r="C173" s="10">
        <v>211.871028728802</v>
      </c>
      <c r="E173" s="10">
        <v>2012</v>
      </c>
      <c r="F173" s="10">
        <v>4</v>
      </c>
      <c r="G173" s="10">
        <v>211.82378452645099</v>
      </c>
    </row>
    <row r="174" spans="1:7" x14ac:dyDescent="0.25">
      <c r="A174" s="10">
        <v>2012</v>
      </c>
      <c r="B174" s="10">
        <v>5</v>
      </c>
      <c r="C174" s="10">
        <v>217.58945862753899</v>
      </c>
      <c r="E174" s="10">
        <v>2012</v>
      </c>
      <c r="F174" s="10">
        <v>5</v>
      </c>
      <c r="G174" s="10">
        <v>217.52759460075299</v>
      </c>
    </row>
    <row r="175" spans="1:7" x14ac:dyDescent="0.25">
      <c r="A175" s="10">
        <v>2012</v>
      </c>
      <c r="B175" s="10">
        <v>6</v>
      </c>
      <c r="C175" s="10">
        <v>208.463262081984</v>
      </c>
      <c r="E175" s="10">
        <v>2012</v>
      </c>
      <c r="F175" s="10">
        <v>6</v>
      </c>
      <c r="G175" s="10">
        <v>208.58199196204001</v>
      </c>
    </row>
    <row r="176" spans="1:7" x14ac:dyDescent="0.25">
      <c r="A176" s="10">
        <v>2012</v>
      </c>
      <c r="B176" s="10">
        <v>7</v>
      </c>
      <c r="C176" s="10">
        <v>216.76392804939999</v>
      </c>
      <c r="E176" s="10">
        <v>2012</v>
      </c>
      <c r="F176" s="10">
        <v>7</v>
      </c>
      <c r="G176" s="10">
        <v>216.77203471396899</v>
      </c>
    </row>
    <row r="177" spans="1:7" x14ac:dyDescent="0.25">
      <c r="A177" s="10">
        <v>2012</v>
      </c>
      <c r="B177" s="10">
        <v>8</v>
      </c>
      <c r="C177" s="10">
        <v>205.60264809919701</v>
      </c>
      <c r="E177" s="10">
        <v>2012</v>
      </c>
      <c r="F177" s="10">
        <v>8</v>
      </c>
      <c r="G177" s="10">
        <v>205.37969425146801</v>
      </c>
    </row>
    <row r="178" spans="1:7" x14ac:dyDescent="0.25">
      <c r="A178" s="10">
        <v>2012</v>
      </c>
      <c r="B178" s="10">
        <v>9</v>
      </c>
      <c r="C178" s="10">
        <v>218.045009890514</v>
      </c>
      <c r="E178" s="10">
        <v>2012</v>
      </c>
      <c r="F178" s="10">
        <v>9</v>
      </c>
      <c r="G178" s="10">
        <v>218.12960335296199</v>
      </c>
    </row>
    <row r="179" spans="1:7" x14ac:dyDescent="0.25">
      <c r="A179" s="10">
        <v>2012</v>
      </c>
      <c r="B179" s="10">
        <v>10</v>
      </c>
      <c r="C179" s="10">
        <v>219.78782967111999</v>
      </c>
      <c r="E179" s="10">
        <v>2012</v>
      </c>
      <c r="F179" s="10">
        <v>10</v>
      </c>
      <c r="G179" s="10">
        <v>219.709453470776</v>
      </c>
    </row>
    <row r="180" spans="1:7" x14ac:dyDescent="0.25">
      <c r="A180" s="10">
        <v>2012</v>
      </c>
      <c r="B180" s="10">
        <v>11</v>
      </c>
      <c r="C180" s="10">
        <v>224.43834601736</v>
      </c>
      <c r="E180" s="10">
        <v>2012</v>
      </c>
      <c r="F180" s="10">
        <v>11</v>
      </c>
      <c r="G180" s="10">
        <v>224.4010712063</v>
      </c>
    </row>
    <row r="181" spans="1:7" x14ac:dyDescent="0.25">
      <c r="A181" s="10">
        <v>2012</v>
      </c>
      <c r="B181" s="10">
        <v>12</v>
      </c>
      <c r="C181" s="10">
        <v>225.34343517985499</v>
      </c>
      <c r="E181" s="10">
        <v>2012</v>
      </c>
      <c r="F181" s="10">
        <v>12</v>
      </c>
      <c r="G181" s="10">
        <v>225.444352224943</v>
      </c>
    </row>
    <row r="182" spans="1:7" x14ac:dyDescent="0.25">
      <c r="A182" s="10">
        <v>2013</v>
      </c>
      <c r="B182" s="10">
        <v>1</v>
      </c>
      <c r="C182" s="10">
        <v>231.42867485149699</v>
      </c>
      <c r="E182" s="10">
        <v>2013</v>
      </c>
      <c r="F182" s="10">
        <v>1</v>
      </c>
      <c r="G182" s="10">
        <v>231.35152051393899</v>
      </c>
    </row>
    <row r="183" spans="1:7" x14ac:dyDescent="0.25">
      <c r="A183" s="10">
        <v>2013</v>
      </c>
      <c r="B183" s="10">
        <v>2</v>
      </c>
      <c r="C183" s="10">
        <v>236.62602659339501</v>
      </c>
      <c r="E183" s="10">
        <v>2013</v>
      </c>
      <c r="F183" s="10">
        <v>2</v>
      </c>
      <c r="G183" s="10">
        <v>236.67774970669399</v>
      </c>
    </row>
    <row r="184" spans="1:7" x14ac:dyDescent="0.25">
      <c r="A184" s="10">
        <v>2013</v>
      </c>
      <c r="B184" s="10">
        <v>3</v>
      </c>
      <c r="C184" s="10">
        <v>232.351732269715</v>
      </c>
      <c r="E184" s="10">
        <v>2013</v>
      </c>
      <c r="F184" s="10">
        <v>3</v>
      </c>
      <c r="G184" s="10">
        <v>232.05353567040501</v>
      </c>
    </row>
    <row r="185" spans="1:7" x14ac:dyDescent="0.25">
      <c r="A185" s="10">
        <v>2013</v>
      </c>
      <c r="B185" s="10">
        <v>4</v>
      </c>
      <c r="C185" s="10">
        <v>236.65371591795801</v>
      </c>
      <c r="E185" s="10">
        <v>2013</v>
      </c>
      <c r="F185" s="10">
        <v>4</v>
      </c>
      <c r="G185" s="10">
        <v>237.03950195977399</v>
      </c>
    </row>
    <row r="186" spans="1:7" x14ac:dyDescent="0.25">
      <c r="A186" s="10">
        <v>2013</v>
      </c>
      <c r="B186" s="10">
        <v>5</v>
      </c>
      <c r="C186" s="10">
        <v>230.86553010305801</v>
      </c>
      <c r="E186" s="10">
        <v>2013</v>
      </c>
      <c r="F186" s="10">
        <v>5</v>
      </c>
      <c r="G186" s="10">
        <v>230.77530467264</v>
      </c>
    </row>
    <row r="187" spans="1:7" x14ac:dyDescent="0.25">
      <c r="A187" s="10">
        <v>2013</v>
      </c>
      <c r="B187" s="10">
        <v>6</v>
      </c>
      <c r="C187" s="10">
        <v>238.37552494884801</v>
      </c>
      <c r="E187" s="10">
        <v>2013</v>
      </c>
      <c r="F187" s="10">
        <v>6</v>
      </c>
      <c r="G187" s="10">
        <v>238.64281127593401</v>
      </c>
    </row>
    <row r="188" spans="1:7" x14ac:dyDescent="0.25">
      <c r="A188" s="10">
        <v>2013</v>
      </c>
      <c r="B188" s="10">
        <v>7</v>
      </c>
      <c r="C188" s="10">
        <v>239.904162368047</v>
      </c>
      <c r="E188" s="10">
        <v>2013</v>
      </c>
      <c r="F188" s="10">
        <v>7</v>
      </c>
      <c r="G188" s="10">
        <v>239.820180953669</v>
      </c>
    </row>
    <row r="189" spans="1:7" x14ac:dyDescent="0.25">
      <c r="A189" s="10">
        <v>2013</v>
      </c>
      <c r="B189" s="10">
        <v>8</v>
      </c>
      <c r="C189" s="10">
        <v>234.489021449501</v>
      </c>
      <c r="E189" s="10">
        <v>2013</v>
      </c>
      <c r="F189" s="10">
        <v>8</v>
      </c>
      <c r="G189" s="10">
        <v>234.383125581798</v>
      </c>
    </row>
    <row r="190" spans="1:7" x14ac:dyDescent="0.25">
      <c r="A190" s="10">
        <v>2013</v>
      </c>
      <c r="B190" s="10">
        <v>9</v>
      </c>
      <c r="C190" s="10">
        <v>237.51027205085001</v>
      </c>
      <c r="E190" s="10">
        <v>2013</v>
      </c>
      <c r="F190" s="10">
        <v>9</v>
      </c>
      <c r="G190" s="10">
        <v>237.452305941899</v>
      </c>
    </row>
    <row r="191" spans="1:7" x14ac:dyDescent="0.25">
      <c r="A191" s="10">
        <v>2013</v>
      </c>
      <c r="B191" s="10">
        <v>10</v>
      </c>
      <c r="C191" s="10">
        <v>240.37527348495999</v>
      </c>
      <c r="E191" s="10">
        <v>2013</v>
      </c>
      <c r="F191" s="10">
        <v>10</v>
      </c>
      <c r="G191" s="10">
        <v>240.31690998833699</v>
      </c>
    </row>
    <row r="192" spans="1:7" x14ac:dyDescent="0.25">
      <c r="A192" s="10">
        <v>2013</v>
      </c>
      <c r="B192" s="10">
        <v>11</v>
      </c>
      <c r="C192" s="10">
        <v>230.567363583195</v>
      </c>
      <c r="E192" s="10">
        <v>2013</v>
      </c>
      <c r="F192" s="10">
        <v>11</v>
      </c>
      <c r="G192" s="10">
        <v>230.64213784089401</v>
      </c>
    </row>
    <row r="193" spans="1:7" x14ac:dyDescent="0.25">
      <c r="A193" s="10">
        <v>2013</v>
      </c>
      <c r="B193" s="10">
        <v>12</v>
      </c>
      <c r="C193" s="10">
        <v>231.94963495352499</v>
      </c>
      <c r="E193" s="10">
        <v>2013</v>
      </c>
      <c r="F193" s="10">
        <v>12</v>
      </c>
      <c r="G193" s="10">
        <v>231.93115646650401</v>
      </c>
    </row>
    <row r="194" spans="1:7" x14ac:dyDescent="0.25">
      <c r="A194" s="10">
        <v>2014</v>
      </c>
      <c r="B194" s="10">
        <v>1</v>
      </c>
      <c r="C194" s="10">
        <v>221.28885454112901</v>
      </c>
      <c r="E194" s="10">
        <v>2014</v>
      </c>
      <c r="F194" s="10">
        <v>1</v>
      </c>
      <c r="G194" s="10">
        <v>221.22310160175201</v>
      </c>
    </row>
    <row r="195" spans="1:7" x14ac:dyDescent="0.25">
      <c r="A195" s="10">
        <v>2014</v>
      </c>
      <c r="B195" s="10">
        <v>2</v>
      </c>
      <c r="C195" s="10">
        <v>221.786595333588</v>
      </c>
      <c r="E195" s="10">
        <v>2014</v>
      </c>
      <c r="F195" s="10">
        <v>2</v>
      </c>
      <c r="G195" s="10">
        <v>221.835233161471</v>
      </c>
    </row>
    <row r="196" spans="1:7" x14ac:dyDescent="0.25">
      <c r="A196" s="10">
        <v>2014</v>
      </c>
      <c r="B196" s="10">
        <v>3</v>
      </c>
      <c r="C196" s="10">
        <v>222.30448800681901</v>
      </c>
      <c r="E196" s="10">
        <v>2014</v>
      </c>
      <c r="F196" s="10">
        <v>3</v>
      </c>
      <c r="G196" s="10">
        <v>222.599880348288</v>
      </c>
    </row>
    <row r="197" spans="1:7" x14ac:dyDescent="0.25">
      <c r="A197" s="10">
        <v>2014</v>
      </c>
      <c r="B197" s="10">
        <v>4</v>
      </c>
      <c r="C197" s="10">
        <v>225.62156420701399</v>
      </c>
      <c r="E197" s="10">
        <v>2014</v>
      </c>
      <c r="F197" s="10">
        <v>4</v>
      </c>
      <c r="G197" s="10">
        <v>225.404573184367</v>
      </c>
    </row>
    <row r="198" spans="1:7" x14ac:dyDescent="0.25">
      <c r="A198" s="10">
        <v>2014</v>
      </c>
      <c r="B198" s="10">
        <v>5</v>
      </c>
      <c r="C198" s="10">
        <v>222.48892462827601</v>
      </c>
      <c r="E198" s="10">
        <v>2014</v>
      </c>
      <c r="F198" s="10">
        <v>5</v>
      </c>
      <c r="G198" s="10">
        <v>222.48538770768999</v>
      </c>
    </row>
    <row r="199" spans="1:7" x14ac:dyDescent="0.25">
      <c r="A199" s="10">
        <v>2014</v>
      </c>
      <c r="B199" s="10">
        <v>6</v>
      </c>
      <c r="C199" s="10">
        <v>230.82244719568999</v>
      </c>
      <c r="E199" s="10">
        <v>2014</v>
      </c>
      <c r="F199" s="10">
        <v>6</v>
      </c>
      <c r="G199" s="10">
        <v>230.995618207012</v>
      </c>
    </row>
    <row r="200" spans="1:7" x14ac:dyDescent="0.25">
      <c r="A200" s="10">
        <v>2014</v>
      </c>
      <c r="B200" s="10">
        <v>7</v>
      </c>
      <c r="C200" s="10">
        <v>218.873500212485</v>
      </c>
      <c r="E200" s="10">
        <v>2014</v>
      </c>
      <c r="F200" s="10">
        <v>7</v>
      </c>
      <c r="G200" s="10">
        <v>218.78601097358799</v>
      </c>
    </row>
    <row r="201" spans="1:7" x14ac:dyDescent="0.25">
      <c r="A201" s="10">
        <v>2014</v>
      </c>
      <c r="B201" s="10">
        <v>8</v>
      </c>
      <c r="C201" s="10">
        <v>219.043747022518</v>
      </c>
      <c r="E201" s="10">
        <v>2014</v>
      </c>
      <c r="F201" s="10">
        <v>8</v>
      </c>
      <c r="G201" s="10">
        <v>219.08725522877199</v>
      </c>
    </row>
    <row r="202" spans="1:7" x14ac:dyDescent="0.25">
      <c r="A202" s="10">
        <v>2014</v>
      </c>
      <c r="B202" s="10">
        <v>9</v>
      </c>
      <c r="C202" s="10">
        <v>221.639259434324</v>
      </c>
      <c r="E202" s="10">
        <v>2014</v>
      </c>
      <c r="F202" s="10">
        <v>9</v>
      </c>
      <c r="G202" s="10">
        <v>221.43798980233501</v>
      </c>
    </row>
    <row r="203" spans="1:7" x14ac:dyDescent="0.25">
      <c r="A203" s="10">
        <v>2014</v>
      </c>
      <c r="B203" s="10">
        <v>10</v>
      </c>
      <c r="C203" s="10">
        <v>216.79740497547499</v>
      </c>
      <c r="E203" s="10">
        <v>2014</v>
      </c>
      <c r="F203" s="10">
        <v>10</v>
      </c>
      <c r="G203" s="10">
        <v>216.74715568467099</v>
      </c>
    </row>
    <row r="204" spans="1:7" x14ac:dyDescent="0.25">
      <c r="A204" s="10">
        <v>2014</v>
      </c>
      <c r="B204" s="10">
        <v>11</v>
      </c>
      <c r="C204" s="10">
        <v>237.71563796154601</v>
      </c>
      <c r="E204" s="10">
        <v>2014</v>
      </c>
      <c r="F204" s="10">
        <v>11</v>
      </c>
      <c r="G204" s="10">
        <v>237.89561245051701</v>
      </c>
    </row>
    <row r="205" spans="1:7" x14ac:dyDescent="0.25">
      <c r="A205" s="10">
        <v>2014</v>
      </c>
      <c r="B205" s="10">
        <v>12</v>
      </c>
      <c r="C205" s="10">
        <v>213.269597939504</v>
      </c>
      <c r="E205" s="10">
        <v>2014</v>
      </c>
      <c r="F205" s="10">
        <v>12</v>
      </c>
      <c r="G205" s="10">
        <v>213.14322032452199</v>
      </c>
    </row>
    <row r="206" spans="1:7" x14ac:dyDescent="0.25">
      <c r="A206" s="10">
        <v>2015</v>
      </c>
      <c r="B206" s="10">
        <v>1</v>
      </c>
      <c r="C206" s="10">
        <v>229.01227555553999</v>
      </c>
      <c r="E206" s="10">
        <v>2015</v>
      </c>
      <c r="F206" s="10">
        <v>1</v>
      </c>
      <c r="G206" s="10">
        <v>229.05621029464999</v>
      </c>
    </row>
    <row r="207" spans="1:7" x14ac:dyDescent="0.25">
      <c r="A207" s="10">
        <v>2015</v>
      </c>
      <c r="B207" s="10">
        <v>2</v>
      </c>
      <c r="C207" s="10">
        <v>230.559218971208</v>
      </c>
      <c r="E207" s="10">
        <v>2015</v>
      </c>
      <c r="F207" s="10">
        <v>2</v>
      </c>
      <c r="G207" s="10">
        <v>230.60837265804099</v>
      </c>
    </row>
    <row r="208" spans="1:7" x14ac:dyDescent="0.25">
      <c r="A208" s="10">
        <v>2015</v>
      </c>
      <c r="B208" s="10">
        <v>3</v>
      </c>
      <c r="C208" s="10">
        <v>232.80705993151699</v>
      </c>
      <c r="E208" s="10">
        <v>2015</v>
      </c>
      <c r="F208" s="10">
        <v>3</v>
      </c>
      <c r="G208" s="10">
        <v>233.051998824751</v>
      </c>
    </row>
    <row r="209" spans="1:7" x14ac:dyDescent="0.25">
      <c r="A209" s="10">
        <v>2015</v>
      </c>
      <c r="B209" s="10">
        <v>4</v>
      </c>
      <c r="C209" s="10">
        <v>234.964766892993</v>
      </c>
      <c r="E209" s="10">
        <v>2015</v>
      </c>
      <c r="F209" s="10">
        <v>4</v>
      </c>
      <c r="G209" s="10">
        <v>234.698991580193</v>
      </c>
    </row>
    <row r="210" spans="1:7" x14ac:dyDescent="0.25">
      <c r="A210" s="10">
        <v>2015</v>
      </c>
      <c r="B210" s="10">
        <v>5</v>
      </c>
      <c r="C210" s="10">
        <v>235.81384233226399</v>
      </c>
      <c r="E210" s="10">
        <v>2015</v>
      </c>
      <c r="F210" s="10">
        <v>5</v>
      </c>
      <c r="G210" s="10">
        <v>235.88462412147999</v>
      </c>
    </row>
    <row r="211" spans="1:7" x14ac:dyDescent="0.25">
      <c r="A211" s="10">
        <v>2015</v>
      </c>
      <c r="B211" s="10">
        <v>6</v>
      </c>
      <c r="C211" s="10">
        <v>238.28983733562501</v>
      </c>
      <c r="E211" s="10">
        <v>2015</v>
      </c>
      <c r="F211" s="10">
        <v>6</v>
      </c>
      <c r="G211" s="10">
        <v>238.370281226272</v>
      </c>
    </row>
    <row r="212" spans="1:7" x14ac:dyDescent="0.25">
      <c r="A212" s="10">
        <v>2015</v>
      </c>
      <c r="B212" s="10">
        <v>7</v>
      </c>
      <c r="C212" s="10">
        <v>217.68119741622101</v>
      </c>
      <c r="E212" s="10">
        <v>2015</v>
      </c>
      <c r="F212" s="10">
        <v>7</v>
      </c>
      <c r="G212" s="10">
        <v>217.576958060685</v>
      </c>
    </row>
    <row r="213" spans="1:7" x14ac:dyDescent="0.25">
      <c r="A213" s="10">
        <v>2015</v>
      </c>
      <c r="B213" s="10">
        <v>8</v>
      </c>
      <c r="C213" s="10">
        <v>228.97071362138101</v>
      </c>
      <c r="E213" s="10">
        <v>2015</v>
      </c>
      <c r="F213" s="10">
        <v>8</v>
      </c>
      <c r="G213" s="10">
        <v>229.056426492643</v>
      </c>
    </row>
    <row r="214" spans="1:7" x14ac:dyDescent="0.25">
      <c r="A214" s="10">
        <v>2015</v>
      </c>
      <c r="B214" s="10">
        <v>9</v>
      </c>
      <c r="C214" s="10">
        <v>233.48051233690501</v>
      </c>
      <c r="E214" s="10">
        <v>2015</v>
      </c>
      <c r="F214" s="10">
        <v>9</v>
      </c>
      <c r="G214" s="10">
        <v>233.27778305067301</v>
      </c>
    </row>
    <row r="215" spans="1:7" x14ac:dyDescent="0.25">
      <c r="A215" s="10">
        <v>2015</v>
      </c>
      <c r="B215" s="10">
        <v>10</v>
      </c>
      <c r="C215" s="10">
        <v>220.540211751767</v>
      </c>
      <c r="E215" s="10">
        <v>2015</v>
      </c>
      <c r="F215" s="10">
        <v>10</v>
      </c>
      <c r="G215" s="10">
        <v>220.582631820768</v>
      </c>
    </row>
    <row r="216" spans="1:7" x14ac:dyDescent="0.25">
      <c r="A216" s="10">
        <v>2015</v>
      </c>
      <c r="B216" s="10">
        <v>11</v>
      </c>
      <c r="C216" s="10">
        <v>219.954544842611</v>
      </c>
      <c r="E216" s="10">
        <v>2015</v>
      </c>
      <c r="F216" s="10">
        <v>11</v>
      </c>
      <c r="G216" s="10">
        <v>220.03226549620999</v>
      </c>
    </row>
    <row r="217" spans="1:7" x14ac:dyDescent="0.25">
      <c r="A217" s="10">
        <v>2015</v>
      </c>
      <c r="B217" s="10">
        <v>12</v>
      </c>
      <c r="C217" s="10">
        <v>201.274754977881</v>
      </c>
      <c r="E217" s="10">
        <v>2015</v>
      </c>
      <c r="F217" s="10">
        <v>12</v>
      </c>
      <c r="G217" s="10">
        <v>201.14051207739899</v>
      </c>
    </row>
    <row r="218" spans="1:7" x14ac:dyDescent="0.25">
      <c r="A218" s="10">
        <v>2016</v>
      </c>
      <c r="B218" s="10">
        <v>1</v>
      </c>
      <c r="C218" s="10">
        <v>223.722933195086</v>
      </c>
      <c r="E218" s="10">
        <v>2016</v>
      </c>
      <c r="F218" s="10">
        <v>1</v>
      </c>
      <c r="G218" s="10">
        <v>223.87459525046501</v>
      </c>
    </row>
    <row r="219" spans="1:7" x14ac:dyDescent="0.25">
      <c r="A219" s="10">
        <v>2016</v>
      </c>
      <c r="B219" s="10">
        <v>2</v>
      </c>
      <c r="C219" s="10">
        <v>222.33593802247799</v>
      </c>
      <c r="E219" s="10">
        <v>2016</v>
      </c>
      <c r="F219" s="10">
        <v>2</v>
      </c>
      <c r="G219" s="10">
        <v>222.24754478900201</v>
      </c>
    </row>
    <row r="220" spans="1:7" x14ac:dyDescent="0.25">
      <c r="A220" s="10">
        <v>2016</v>
      </c>
      <c r="B220" s="10">
        <v>3</v>
      </c>
      <c r="C220" s="10">
        <v>219.58345821199299</v>
      </c>
      <c r="E220" s="10">
        <v>2016</v>
      </c>
      <c r="F220" s="10">
        <v>3</v>
      </c>
      <c r="G220" s="10">
        <v>219.20911106864199</v>
      </c>
    </row>
    <row r="221" spans="1:7" x14ac:dyDescent="0.25">
      <c r="A221" s="10">
        <v>2016</v>
      </c>
      <c r="B221" s="10">
        <v>4</v>
      </c>
      <c r="C221" s="10">
        <v>213.93446171702601</v>
      </c>
      <c r="E221" s="10">
        <v>2016</v>
      </c>
      <c r="F221" s="10">
        <v>4</v>
      </c>
      <c r="G221" s="10">
        <v>214.31880142192799</v>
      </c>
    </row>
    <row r="222" spans="1:7" x14ac:dyDescent="0.25">
      <c r="A222" s="10">
        <v>2016</v>
      </c>
      <c r="B222" s="10">
        <v>5</v>
      </c>
      <c r="C222" s="10">
        <v>223.98208852302599</v>
      </c>
      <c r="E222" s="10">
        <v>2016</v>
      </c>
      <c r="F222" s="10">
        <v>5</v>
      </c>
      <c r="G222" s="10">
        <v>223.944554570013</v>
      </c>
    </row>
    <row r="223" spans="1:7" x14ac:dyDescent="0.25">
      <c r="A223" s="10">
        <v>2016</v>
      </c>
      <c r="B223" s="10">
        <v>6</v>
      </c>
      <c r="C223" s="10">
        <v>210.06386942838799</v>
      </c>
      <c r="E223" s="10">
        <v>2016</v>
      </c>
      <c r="F223" s="10">
        <v>6</v>
      </c>
      <c r="G223" s="10">
        <v>210.109845703719</v>
      </c>
    </row>
    <row r="224" spans="1:7" x14ac:dyDescent="0.25">
      <c r="A224" s="10">
        <v>2016</v>
      </c>
      <c r="B224" s="10">
        <v>7</v>
      </c>
      <c r="C224" s="10">
        <v>212.57584029765201</v>
      </c>
      <c r="E224" s="10">
        <v>2016</v>
      </c>
      <c r="F224" s="10">
        <v>7</v>
      </c>
      <c r="G224" s="10">
        <v>212.64817586174701</v>
      </c>
    </row>
    <row r="225" spans="1:7" x14ac:dyDescent="0.25">
      <c r="A225" s="10">
        <v>2016</v>
      </c>
      <c r="B225" s="10">
        <v>8</v>
      </c>
      <c r="C225" s="10">
        <v>221.02309448821501</v>
      </c>
      <c r="E225" s="10">
        <v>2016</v>
      </c>
      <c r="F225" s="10">
        <v>8</v>
      </c>
      <c r="G225" s="10">
        <v>220.97511812497501</v>
      </c>
    </row>
    <row r="226" spans="1:7" x14ac:dyDescent="0.25">
      <c r="A226" s="10">
        <v>2016</v>
      </c>
      <c r="B226" s="10">
        <v>9</v>
      </c>
      <c r="C226" s="10">
        <v>215.670500153229</v>
      </c>
      <c r="E226" s="10">
        <v>2016</v>
      </c>
      <c r="F226" s="10">
        <v>9</v>
      </c>
      <c r="G226" s="10">
        <v>215.463496054421</v>
      </c>
    </row>
    <row r="227" spans="1:7" x14ac:dyDescent="0.25">
      <c r="A227" s="10">
        <v>2016</v>
      </c>
      <c r="B227" s="10">
        <v>10</v>
      </c>
      <c r="C227" s="10">
        <v>219.94754056345801</v>
      </c>
      <c r="E227" s="10">
        <v>2016</v>
      </c>
      <c r="F227" s="10">
        <v>10</v>
      </c>
      <c r="G227" s="10">
        <v>220.08365536043999</v>
      </c>
    </row>
    <row r="228" spans="1:7" x14ac:dyDescent="0.25">
      <c r="A228" s="10">
        <v>2016</v>
      </c>
      <c r="B228" s="10">
        <v>11</v>
      </c>
      <c r="C228" s="10">
        <v>228.20676286698</v>
      </c>
      <c r="E228" s="10">
        <v>2016</v>
      </c>
      <c r="F228" s="10">
        <v>11</v>
      </c>
      <c r="G228" s="10">
        <v>228.17392868496501</v>
      </c>
    </row>
    <row r="229" spans="1:7" x14ac:dyDescent="0.25">
      <c r="A229" s="10">
        <v>2016</v>
      </c>
      <c r="B229" s="10">
        <v>12</v>
      </c>
      <c r="C229" s="10">
        <v>231.76875868662</v>
      </c>
      <c r="E229" s="10">
        <v>2016</v>
      </c>
      <c r="F229" s="10">
        <v>12</v>
      </c>
      <c r="G229" s="10">
        <v>231.724358030356</v>
      </c>
    </row>
    <row r="230" spans="1:7" x14ac:dyDescent="0.25">
      <c r="A230" s="10">
        <v>2017</v>
      </c>
      <c r="B230" s="10">
        <v>1</v>
      </c>
      <c r="C230" s="10">
        <v>235.03707003554601</v>
      </c>
      <c r="E230" s="10">
        <v>2017</v>
      </c>
      <c r="F230" s="10">
        <v>1</v>
      </c>
      <c r="G230" s="10">
        <v>235.071658434662</v>
      </c>
    </row>
    <row r="231" spans="1:7" x14ac:dyDescent="0.25">
      <c r="A231" s="10">
        <v>2017</v>
      </c>
      <c r="B231" s="10">
        <v>2</v>
      </c>
      <c r="C231" s="10">
        <v>222.769656972295</v>
      </c>
      <c r="E231" s="10">
        <v>2017</v>
      </c>
      <c r="F231" s="10">
        <v>2</v>
      </c>
      <c r="G231" s="10">
        <v>222.84120195349601</v>
      </c>
    </row>
    <row r="232" spans="1:7" x14ac:dyDescent="0.25">
      <c r="A232" s="10">
        <v>2017</v>
      </c>
      <c r="B232" s="10">
        <v>3</v>
      </c>
      <c r="C232" s="10">
        <v>235.72651567641299</v>
      </c>
      <c r="E232" s="10">
        <v>2017</v>
      </c>
      <c r="F232" s="10">
        <v>3</v>
      </c>
      <c r="G232" s="10">
        <v>235.94138631320399</v>
      </c>
    </row>
    <row r="233" spans="1:7" x14ac:dyDescent="0.25">
      <c r="A233" s="10">
        <v>2017</v>
      </c>
      <c r="B233" s="10">
        <v>4</v>
      </c>
      <c r="C233" s="10">
        <v>233.06941026571201</v>
      </c>
      <c r="E233" s="10">
        <v>2017</v>
      </c>
      <c r="F233" s="10">
        <v>4</v>
      </c>
      <c r="G233" s="10">
        <v>232.976737820208</v>
      </c>
    </row>
    <row r="234" spans="1:7" x14ac:dyDescent="0.25">
      <c r="A234" s="10">
        <v>2017</v>
      </c>
      <c r="B234" s="10">
        <v>5</v>
      </c>
      <c r="C234" s="10">
        <v>233.23285493059899</v>
      </c>
      <c r="E234" s="10">
        <v>2017</v>
      </c>
      <c r="F234" s="10">
        <v>5</v>
      </c>
      <c r="G234" s="10">
        <v>233.07879332923</v>
      </c>
    </row>
    <row r="235" spans="1:7" x14ac:dyDescent="0.25">
      <c r="A235" s="10">
        <v>2017</v>
      </c>
      <c r="B235" s="10">
        <v>6</v>
      </c>
      <c r="C235" s="10">
        <v>234.97612955621599</v>
      </c>
      <c r="E235" s="10">
        <v>2017</v>
      </c>
      <c r="F235" s="10">
        <v>6</v>
      </c>
      <c r="G235" s="10">
        <v>234.98124897887399</v>
      </c>
    </row>
    <row r="236" spans="1:7" x14ac:dyDescent="0.25">
      <c r="A236" s="10">
        <v>2017</v>
      </c>
      <c r="B236" s="10">
        <v>7</v>
      </c>
      <c r="C236" s="10">
        <v>236.65294917097299</v>
      </c>
      <c r="E236" s="10">
        <v>2017</v>
      </c>
      <c r="F236" s="10">
        <v>7</v>
      </c>
      <c r="G236" s="10">
        <v>236.71511674094501</v>
      </c>
    </row>
    <row r="237" spans="1:7" x14ac:dyDescent="0.25">
      <c r="A237" s="10">
        <v>2017</v>
      </c>
      <c r="B237" s="10">
        <v>8</v>
      </c>
      <c r="C237" s="10">
        <v>233.76612758775099</v>
      </c>
      <c r="E237" s="10">
        <v>2017</v>
      </c>
      <c r="F237" s="10">
        <v>8</v>
      </c>
      <c r="G237" s="10">
        <v>233.75978622352699</v>
      </c>
    </row>
    <row r="238" spans="1:7" x14ac:dyDescent="0.25">
      <c r="A238" s="10">
        <v>2017</v>
      </c>
      <c r="B238" s="10">
        <v>9</v>
      </c>
      <c r="C238" s="10">
        <v>239.681746542139</v>
      </c>
      <c r="E238" s="10">
        <v>2017</v>
      </c>
      <c r="F238" s="10">
        <v>9</v>
      </c>
      <c r="G238" s="10">
        <v>239.628319263446</v>
      </c>
    </row>
    <row r="239" spans="1:7" x14ac:dyDescent="0.25">
      <c r="A239" s="10">
        <v>2017</v>
      </c>
      <c r="B239" s="10">
        <v>10</v>
      </c>
      <c r="C239" s="10">
        <v>244.653334933824</v>
      </c>
      <c r="E239" s="10">
        <v>2017</v>
      </c>
      <c r="F239" s="10">
        <v>10</v>
      </c>
      <c r="G239" s="10">
        <v>244.68189097913699</v>
      </c>
    </row>
    <row r="240" spans="1:7" x14ac:dyDescent="0.25">
      <c r="A240" s="10">
        <v>2017</v>
      </c>
      <c r="B240" s="10">
        <v>11</v>
      </c>
      <c r="C240" s="10">
        <v>248.69896689442501</v>
      </c>
      <c r="E240" s="10">
        <v>2017</v>
      </c>
      <c r="F240" s="10">
        <v>11</v>
      </c>
      <c r="G240" s="10">
        <v>248.638736323827</v>
      </c>
    </row>
    <row r="241" spans="1:7" x14ac:dyDescent="0.25">
      <c r="A241" s="10">
        <v>2017</v>
      </c>
      <c r="B241" s="10">
        <v>12</v>
      </c>
      <c r="C241" s="10">
        <v>248.83567160722001</v>
      </c>
      <c r="E241" s="10">
        <v>2017</v>
      </c>
      <c r="F241" s="10">
        <v>12</v>
      </c>
      <c r="G241" s="10">
        <v>248.88723186120899</v>
      </c>
    </row>
    <row r="242" spans="1:7" x14ac:dyDescent="0.25">
      <c r="A242" s="10">
        <v>2018</v>
      </c>
      <c r="B242" s="10">
        <v>1</v>
      </c>
      <c r="C242" s="10">
        <v>252.133722274523</v>
      </c>
      <c r="E242" s="10">
        <v>2018</v>
      </c>
      <c r="F242" s="10">
        <v>1</v>
      </c>
      <c r="G242" s="10">
        <v>252.050809582787</v>
      </c>
    </row>
    <row r="243" spans="1:7" x14ac:dyDescent="0.25">
      <c r="A243" s="10">
        <v>2018</v>
      </c>
      <c r="B243" s="10">
        <v>2</v>
      </c>
      <c r="C243" s="10">
        <v>255.33573284075501</v>
      </c>
      <c r="E243" s="10">
        <v>2018</v>
      </c>
      <c r="F243" s="10">
        <v>2</v>
      </c>
      <c r="G243" s="10">
        <v>255.42531244789399</v>
      </c>
    </row>
    <row r="244" spans="1:7" x14ac:dyDescent="0.25">
      <c r="A244" s="10">
        <v>2018</v>
      </c>
      <c r="B244" s="10">
        <v>3</v>
      </c>
      <c r="C244" s="10">
        <v>260.155975131052</v>
      </c>
      <c r="E244" s="10">
        <v>2018</v>
      </c>
      <c r="F244" s="10">
        <v>3</v>
      </c>
      <c r="G244" s="10">
        <v>259.89276970963999</v>
      </c>
    </row>
    <row r="245" spans="1:7" x14ac:dyDescent="0.25">
      <c r="A245" s="10">
        <v>2018</v>
      </c>
      <c r="B245" s="10">
        <v>4</v>
      </c>
      <c r="C245" s="10">
        <v>259.35106514919698</v>
      </c>
      <c r="E245" s="10">
        <v>2018</v>
      </c>
      <c r="F245" s="10">
        <v>4</v>
      </c>
      <c r="G245" s="10">
        <v>259.72238202614801</v>
      </c>
    </row>
    <row r="246" spans="1:7" x14ac:dyDescent="0.25">
      <c r="A246" s="10">
        <v>2018</v>
      </c>
      <c r="B246" s="10">
        <v>5</v>
      </c>
      <c r="C246" s="10">
        <v>252.62622841022201</v>
      </c>
      <c r="E246" s="10">
        <v>2018</v>
      </c>
      <c r="F246" s="10">
        <v>5</v>
      </c>
      <c r="G246" s="10">
        <v>252.49577708230299</v>
      </c>
    </row>
    <row r="247" spans="1:7" x14ac:dyDescent="0.25">
      <c r="A247" s="10">
        <v>2018</v>
      </c>
      <c r="B247" s="10">
        <v>6</v>
      </c>
      <c r="C247" s="10">
        <v>258.86307592347703</v>
      </c>
      <c r="E247" s="10">
        <v>2018</v>
      </c>
      <c r="F247" s="10">
        <v>6</v>
      </c>
      <c r="G247" s="10">
        <v>258.90585628391199</v>
      </c>
    </row>
    <row r="248" spans="1:7" x14ac:dyDescent="0.25">
      <c r="A248" s="10">
        <v>2018</v>
      </c>
      <c r="B248" s="10">
        <v>7</v>
      </c>
      <c r="C248" s="10">
        <v>256.45017570856299</v>
      </c>
      <c r="E248" s="10">
        <v>2018</v>
      </c>
      <c r="F248" s="10">
        <v>7</v>
      </c>
      <c r="G248" s="10">
        <v>256.39179052533598</v>
      </c>
    </row>
    <row r="249" spans="1:7" x14ac:dyDescent="0.25">
      <c r="A249" s="10">
        <v>2018</v>
      </c>
      <c r="B249" s="10">
        <v>8</v>
      </c>
      <c r="C249" s="10">
        <v>259.07616770047002</v>
      </c>
      <c r="E249" s="10">
        <v>2018</v>
      </c>
      <c r="F249" s="10">
        <v>8</v>
      </c>
      <c r="G249" s="10">
        <v>259.17016689087001</v>
      </c>
    </row>
    <row r="250" spans="1:7" x14ac:dyDescent="0.25">
      <c r="A250" s="10">
        <v>2018</v>
      </c>
      <c r="B250" s="10">
        <v>9</v>
      </c>
      <c r="C250" s="10">
        <v>246.95735669738801</v>
      </c>
      <c r="E250" s="10">
        <v>2018</v>
      </c>
      <c r="F250" s="10">
        <v>9</v>
      </c>
      <c r="G250" s="10">
        <v>247.039605524877</v>
      </c>
    </row>
    <row r="251" spans="1:7" x14ac:dyDescent="0.25">
      <c r="A251" s="10">
        <v>2018</v>
      </c>
      <c r="B251" s="10">
        <v>10</v>
      </c>
      <c r="C251" s="10">
        <v>256.44762184638398</v>
      </c>
      <c r="E251" s="10">
        <v>2018</v>
      </c>
      <c r="F251" s="10">
        <v>10</v>
      </c>
      <c r="G251" s="10">
        <v>256.348490436909</v>
      </c>
    </row>
    <row r="252" spans="1:7" x14ac:dyDescent="0.25">
      <c r="A252" s="10">
        <v>2018</v>
      </c>
      <c r="B252" s="10">
        <v>11</v>
      </c>
      <c r="C252" s="10">
        <v>250.190494326899</v>
      </c>
      <c r="E252" s="10">
        <v>2018</v>
      </c>
      <c r="F252" s="10">
        <v>11</v>
      </c>
      <c r="G252" s="10">
        <v>250.082251495739</v>
      </c>
    </row>
    <row r="253" spans="1:7" x14ac:dyDescent="0.25">
      <c r="A253" s="10">
        <v>2018</v>
      </c>
      <c r="B253" s="10">
        <v>12</v>
      </c>
      <c r="C253" s="10">
        <v>252.60030175937899</v>
      </c>
      <c r="E253" s="10">
        <v>2018</v>
      </c>
      <c r="F253" s="10">
        <v>12</v>
      </c>
      <c r="G253" s="10">
        <v>252.65167625119099</v>
      </c>
    </row>
    <row r="254" spans="1:7" x14ac:dyDescent="0.25">
      <c r="A254" s="10">
        <v>2019</v>
      </c>
      <c r="B254" s="10">
        <v>1</v>
      </c>
      <c r="C254" s="10">
        <v>255.98569934606101</v>
      </c>
      <c r="E254" s="10">
        <v>2019</v>
      </c>
      <c r="F254" s="10">
        <v>1</v>
      </c>
      <c r="G254" s="10">
        <v>255.88484010432299</v>
      </c>
    </row>
    <row r="255" spans="1:7" x14ac:dyDescent="0.25">
      <c r="A255" s="10">
        <v>2019</v>
      </c>
      <c r="B255" s="10">
        <v>2</v>
      </c>
      <c r="C255" s="10">
        <v>250.864362560031</v>
      </c>
      <c r="E255" s="10">
        <v>2019</v>
      </c>
      <c r="F255" s="10">
        <v>2</v>
      </c>
      <c r="G255" s="10">
        <v>250.98302082510801</v>
      </c>
    </row>
    <row r="256" spans="1:7" x14ac:dyDescent="0.25">
      <c r="A256" s="10">
        <v>2019</v>
      </c>
      <c r="B256" s="10">
        <v>3</v>
      </c>
      <c r="C256" s="10">
        <v>233.90575893069001</v>
      </c>
      <c r="E256" s="10">
        <v>2019</v>
      </c>
      <c r="F256" s="10">
        <v>3</v>
      </c>
      <c r="G256" s="10">
        <v>234.25927418558899</v>
      </c>
    </row>
    <row r="257" spans="1:7" x14ac:dyDescent="0.25">
      <c r="A257" s="10">
        <v>2019</v>
      </c>
      <c r="B257" s="10">
        <v>4</v>
      </c>
      <c r="C257" s="10">
        <v>247.49120290885401</v>
      </c>
      <c r="E257" s="10">
        <v>2019</v>
      </c>
      <c r="F257" s="10">
        <v>4</v>
      </c>
      <c r="G257" s="10">
        <v>247.221826780838</v>
      </c>
    </row>
    <row r="258" spans="1:7" x14ac:dyDescent="0.25">
      <c r="A258" s="10">
        <v>2019</v>
      </c>
      <c r="B258" s="10">
        <v>5</v>
      </c>
      <c r="C258" s="10">
        <v>255.66101267206099</v>
      </c>
      <c r="E258" s="10">
        <v>2019</v>
      </c>
      <c r="F258" s="10">
        <v>5</v>
      </c>
      <c r="G258" s="10">
        <v>255.543892048315</v>
      </c>
    </row>
    <row r="259" spans="1:7" x14ac:dyDescent="0.25">
      <c r="A259" s="10">
        <v>2019</v>
      </c>
      <c r="B259" s="10">
        <v>6</v>
      </c>
      <c r="C259" s="10">
        <v>255.92521657790499</v>
      </c>
      <c r="E259" s="10">
        <v>2019</v>
      </c>
      <c r="F259" s="10">
        <v>6</v>
      </c>
      <c r="G259" s="10">
        <v>256.06282399284601</v>
      </c>
    </row>
    <row r="260" spans="1:7" x14ac:dyDescent="0.25">
      <c r="A260" s="10">
        <v>2019</v>
      </c>
      <c r="B260" s="10">
        <v>7</v>
      </c>
      <c r="C260" s="10">
        <v>272.06872728073898</v>
      </c>
      <c r="E260" s="10">
        <v>2019</v>
      </c>
      <c r="F260" s="10">
        <v>7</v>
      </c>
      <c r="G260" s="10">
        <v>271.91886492637502</v>
      </c>
    </row>
    <row r="261" spans="1:7" x14ac:dyDescent="0.25">
      <c r="A261" s="10">
        <v>2019</v>
      </c>
      <c r="B261" s="10">
        <v>8</v>
      </c>
      <c r="C261" s="10">
        <v>262.22585263011302</v>
      </c>
      <c r="E261" s="10">
        <v>2019</v>
      </c>
      <c r="F261" s="10">
        <v>8</v>
      </c>
      <c r="G261" s="10">
        <v>262.49528699876402</v>
      </c>
    </row>
    <row r="262" spans="1:7" x14ac:dyDescent="0.25">
      <c r="A262" s="10">
        <v>2019</v>
      </c>
      <c r="B262" s="10">
        <v>9</v>
      </c>
      <c r="C262" s="10">
        <v>275.24469971593902</v>
      </c>
      <c r="E262" s="10">
        <v>2019</v>
      </c>
      <c r="F262" s="10">
        <v>9</v>
      </c>
      <c r="G262" s="10">
        <v>275.24685806756298</v>
      </c>
    </row>
    <row r="263" spans="1:7" x14ac:dyDescent="0.25">
      <c r="A263" s="10">
        <v>2019</v>
      </c>
      <c r="B263" s="10">
        <v>10</v>
      </c>
      <c r="C263" s="10">
        <v>274.30728142537799</v>
      </c>
      <c r="E263" s="10">
        <v>2019</v>
      </c>
      <c r="F263" s="10">
        <v>10</v>
      </c>
      <c r="G263" s="10">
        <v>274.14432915041601</v>
      </c>
    </row>
    <row r="264" spans="1:7" x14ac:dyDescent="0.25">
      <c r="A264" s="10">
        <v>2019</v>
      </c>
      <c r="B264" s="10">
        <v>11</v>
      </c>
      <c r="C264" s="10">
        <v>273.341497058225</v>
      </c>
      <c r="E264" s="10">
        <v>2019</v>
      </c>
      <c r="F264" s="10">
        <v>11</v>
      </c>
      <c r="G264" s="10">
        <v>273.25412587574499</v>
      </c>
    </row>
    <row r="265" spans="1:7" x14ac:dyDescent="0.25">
      <c r="A265" s="10">
        <v>2019</v>
      </c>
      <c r="B265" s="10">
        <v>12</v>
      </c>
      <c r="C265" s="10">
        <v>274.00131598602297</v>
      </c>
      <c r="E265" s="10">
        <v>2019</v>
      </c>
      <c r="F265" s="10">
        <v>12</v>
      </c>
      <c r="G265" s="10">
        <v>273.92485922790701</v>
      </c>
    </row>
    <row r="266" spans="1:7" x14ac:dyDescent="0.25">
      <c r="A266" s="10">
        <v>2020</v>
      </c>
      <c r="B266" s="10">
        <v>1</v>
      </c>
      <c r="C266" s="10">
        <v>261.79233846247598</v>
      </c>
      <c r="E266" s="10">
        <v>2020</v>
      </c>
      <c r="F266" s="10">
        <v>1</v>
      </c>
      <c r="G266" s="10">
        <v>261.66710026522901</v>
      </c>
    </row>
    <row r="267" spans="1:7" x14ac:dyDescent="0.25">
      <c r="A267" s="10">
        <v>2020</v>
      </c>
      <c r="B267" s="10">
        <v>2</v>
      </c>
      <c r="C267" s="10">
        <v>256.84261622973798</v>
      </c>
      <c r="E267" s="10">
        <v>2020</v>
      </c>
      <c r="F267" s="10">
        <v>2</v>
      </c>
      <c r="G267" s="10">
        <v>257.08239042711102</v>
      </c>
    </row>
    <row r="268" spans="1:7" x14ac:dyDescent="0.25">
      <c r="A268" s="10">
        <v>2020</v>
      </c>
      <c r="B268" s="10">
        <v>3</v>
      </c>
      <c r="C268" s="10">
        <v>240.645651780473</v>
      </c>
      <c r="E268" s="10">
        <v>2020</v>
      </c>
      <c r="F268" s="10">
        <v>3</v>
      </c>
      <c r="G268" s="10">
        <v>240.82398471320499</v>
      </c>
    </row>
    <row r="269" spans="1:7" x14ac:dyDescent="0.25">
      <c r="A269" s="10">
        <v>2020</v>
      </c>
      <c r="B269" s="10">
        <v>4</v>
      </c>
      <c r="C269" s="10">
        <v>269.62739578908798</v>
      </c>
      <c r="E269" s="10">
        <v>2020</v>
      </c>
      <c r="F269" s="10">
        <v>4</v>
      </c>
      <c r="G269" s="10">
        <v>269.43501555429998</v>
      </c>
    </row>
    <row r="270" spans="1:7" x14ac:dyDescent="0.25">
      <c r="A270" s="10">
        <v>2020</v>
      </c>
      <c r="B270" s="10">
        <v>5</v>
      </c>
      <c r="C270" s="10">
        <v>266.76083501282397</v>
      </c>
      <c r="E270" s="10">
        <v>2020</v>
      </c>
      <c r="F270" s="10">
        <v>5</v>
      </c>
      <c r="G270" s="10">
        <v>266.864717345234</v>
      </c>
    </row>
    <row r="271" spans="1:7" x14ac:dyDescent="0.25">
      <c r="A271" s="10">
        <v>2020</v>
      </c>
      <c r="B271" s="10">
        <v>6</v>
      </c>
      <c r="C271" s="10">
        <v>268.400153856072</v>
      </c>
      <c r="E271" s="10">
        <v>2020</v>
      </c>
      <c r="F271" s="10">
        <v>6</v>
      </c>
      <c r="G271" s="10">
        <v>268.16235507604102</v>
      </c>
    </row>
    <row r="272" spans="1:7" x14ac:dyDescent="0.25">
      <c r="A272" s="10">
        <v>2020</v>
      </c>
      <c r="B272" s="10">
        <v>7</v>
      </c>
      <c r="C272" s="10">
        <v>261.92710701859897</v>
      </c>
      <c r="E272" s="10">
        <v>2020</v>
      </c>
      <c r="F272" s="10">
        <v>7</v>
      </c>
      <c r="G272" s="10">
        <v>261.66197540667901</v>
      </c>
    </row>
    <row r="273" spans="1:7" x14ac:dyDescent="0.25">
      <c r="A273" s="10">
        <v>2020</v>
      </c>
      <c r="B273" s="10">
        <v>8</v>
      </c>
      <c r="C273" s="10">
        <v>263.35687093062302</v>
      </c>
      <c r="E273" s="10">
        <v>2020</v>
      </c>
      <c r="F273" s="10">
        <v>8</v>
      </c>
      <c r="G273" s="10">
        <v>264.38839454565402</v>
      </c>
    </row>
    <row r="274" spans="1:7" x14ac:dyDescent="0.25">
      <c r="A274" s="10">
        <v>2020</v>
      </c>
      <c r="B274" s="10">
        <v>9</v>
      </c>
      <c r="C274" s="10">
        <v>269.00088337721502</v>
      </c>
      <c r="E274" s="10">
        <v>2020</v>
      </c>
      <c r="F274" s="10">
        <v>9</v>
      </c>
      <c r="G274" s="10">
        <v>268.68534093564199</v>
      </c>
    </row>
    <row r="275" spans="1:7" x14ac:dyDescent="0.25">
      <c r="A275" s="10">
        <v>2020</v>
      </c>
      <c r="B275" s="10">
        <v>10</v>
      </c>
      <c r="C275" s="10">
        <v>270.55617274160397</v>
      </c>
      <c r="E275" s="10">
        <v>2020</v>
      </c>
      <c r="F275" s="10">
        <v>10</v>
      </c>
      <c r="G275" s="10">
        <v>270.28047449941198</v>
      </c>
    </row>
    <row r="276" spans="1:7" x14ac:dyDescent="0.25">
      <c r="A276" s="10">
        <v>2020</v>
      </c>
      <c r="B276" s="10">
        <v>11</v>
      </c>
      <c r="C276" s="10">
        <v>280.850234586581</v>
      </c>
      <c r="E276" s="10">
        <v>2020</v>
      </c>
      <c r="F276" s="10">
        <v>11</v>
      </c>
      <c r="G276" s="10">
        <v>280.60149766495402</v>
      </c>
    </row>
    <row r="277" spans="1:7" x14ac:dyDescent="0.25">
      <c r="A277" s="10">
        <v>2020</v>
      </c>
      <c r="B277" s="10">
        <v>12</v>
      </c>
      <c r="C277" s="10">
        <v>255.72465443643901</v>
      </c>
      <c r="E277" s="10">
        <v>2020</v>
      </c>
      <c r="F277" s="10">
        <v>12</v>
      </c>
      <c r="G277" s="10">
        <v>255.48554009765101</v>
      </c>
    </row>
    <row r="278" spans="1:7" x14ac:dyDescent="0.25">
      <c r="A278" s="10">
        <v>2021</v>
      </c>
      <c r="B278" s="10">
        <v>1</v>
      </c>
      <c r="C278" s="10">
        <v>250.01445097323401</v>
      </c>
      <c r="E278" s="10">
        <v>2021</v>
      </c>
      <c r="F278" s="10">
        <v>1</v>
      </c>
      <c r="G278" s="10">
        <v>249.99800319694199</v>
      </c>
    </row>
    <row r="279" spans="1:7" x14ac:dyDescent="0.25">
      <c r="A279" s="10">
        <v>2021</v>
      </c>
      <c r="B279" s="10">
        <v>2</v>
      </c>
      <c r="C279" s="10">
        <v>253.50377646401299</v>
      </c>
      <c r="E279" s="10">
        <v>2021</v>
      </c>
      <c r="F279" s="10">
        <v>2</v>
      </c>
      <c r="G279" s="10">
        <v>254.02820440646801</v>
      </c>
    </row>
    <row r="280" spans="1:7" x14ac:dyDescent="0.25">
      <c r="A280" s="10">
        <v>2021</v>
      </c>
      <c r="B280" s="10">
        <v>3</v>
      </c>
      <c r="C280" s="10">
        <v>256.018578558868</v>
      </c>
      <c r="E280" s="10">
        <v>2021</v>
      </c>
      <c r="F280" s="10">
        <v>3</v>
      </c>
      <c r="G280" s="10">
        <v>256.191172055577</v>
      </c>
    </row>
    <row r="281" spans="1:7" x14ac:dyDescent="0.25">
      <c r="A281" s="10">
        <v>2021</v>
      </c>
      <c r="B281" s="10">
        <v>4</v>
      </c>
      <c r="C281" s="10">
        <v>255.666416634271</v>
      </c>
      <c r="E281" s="10">
        <v>2021</v>
      </c>
      <c r="F281" s="10">
        <v>4</v>
      </c>
      <c r="G281" s="10">
        <v>255.526286408403</v>
      </c>
    </row>
    <row r="282" spans="1:7" x14ac:dyDescent="0.25">
      <c r="A282" s="10">
        <v>2021</v>
      </c>
      <c r="B282" s="10">
        <v>5</v>
      </c>
      <c r="C282" s="10">
        <v>229.36987107157</v>
      </c>
      <c r="E282" s="10">
        <v>2021</v>
      </c>
      <c r="F282" s="10">
        <v>5</v>
      </c>
      <c r="G282" s="10">
        <v>229.56390574144601</v>
      </c>
    </row>
    <row r="283" spans="1:7" x14ac:dyDescent="0.25">
      <c r="A283" s="10">
        <v>2021</v>
      </c>
      <c r="B283" s="10">
        <v>6</v>
      </c>
      <c r="C283" s="10">
        <v>248.25929626912199</v>
      </c>
      <c r="E283" s="10">
        <v>2021</v>
      </c>
      <c r="F283" s="10">
        <v>6</v>
      </c>
      <c r="G283" s="10">
        <v>247.78776199935101</v>
      </c>
    </row>
    <row r="284" spans="1:7" x14ac:dyDescent="0.25">
      <c r="A284" s="10">
        <v>2021</v>
      </c>
      <c r="B284" s="10">
        <v>7</v>
      </c>
      <c r="C284" s="10">
        <v>242.929552080371</v>
      </c>
      <c r="E284" s="10">
        <v>2021</v>
      </c>
      <c r="F284" s="10">
        <v>7</v>
      </c>
      <c r="G284" s="10">
        <v>242.78913245672899</v>
      </c>
    </row>
    <row r="285" spans="1:7" x14ac:dyDescent="0.25">
      <c r="A285" s="10">
        <v>2021</v>
      </c>
      <c r="B285" s="10">
        <v>8</v>
      </c>
      <c r="C285" s="10">
        <v>254.40688592732201</v>
      </c>
      <c r="E285" s="10">
        <v>2021</v>
      </c>
      <c r="F285" s="10">
        <v>8</v>
      </c>
      <c r="G285" s="10">
        <v>255.948549183827</v>
      </c>
    </row>
    <row r="286" spans="1:7" x14ac:dyDescent="0.25">
      <c r="A286" s="10">
        <v>2021</v>
      </c>
      <c r="B286" s="10">
        <v>9</v>
      </c>
      <c r="C286" s="10">
        <v>245.13977347055999</v>
      </c>
      <c r="E286" s="10">
        <v>2021</v>
      </c>
      <c r="F286" s="10">
        <v>9</v>
      </c>
      <c r="G286" s="10">
        <v>244.57676095125399</v>
      </c>
    </row>
    <row r="287" spans="1:7" x14ac:dyDescent="0.25">
      <c r="A287" s="10">
        <v>2021</v>
      </c>
      <c r="B287" s="10">
        <v>10</v>
      </c>
      <c r="C287" s="10">
        <v>249.22177926836</v>
      </c>
      <c r="E287" s="10">
        <v>2021</v>
      </c>
      <c r="F287" s="10">
        <v>10</v>
      </c>
      <c r="G287" s="10">
        <v>248.47783896350199</v>
      </c>
    </row>
    <row r="288" spans="1:7" x14ac:dyDescent="0.25">
      <c r="A288" s="10">
        <v>2021</v>
      </c>
      <c r="B288" s="10">
        <v>11</v>
      </c>
      <c r="C288" s="10">
        <v>248.39955693554899</v>
      </c>
      <c r="E288" s="10">
        <v>2021</v>
      </c>
      <c r="F288" s="10">
        <v>11</v>
      </c>
      <c r="G288" s="10">
        <v>248.13843444215701</v>
      </c>
    </row>
    <row r="289" spans="1:7" x14ac:dyDescent="0.25">
      <c r="A289" s="10">
        <v>2021</v>
      </c>
      <c r="B289" s="10">
        <v>12</v>
      </c>
      <c r="C289" s="10">
        <v>249.24403494992501</v>
      </c>
      <c r="E289" s="10">
        <v>2021</v>
      </c>
      <c r="F289" s="10">
        <v>12</v>
      </c>
      <c r="G289" s="10">
        <v>248.392663615412</v>
      </c>
    </row>
    <row r="290" spans="1:7" x14ac:dyDescent="0.25">
      <c r="A290" s="10">
        <v>2022</v>
      </c>
      <c r="B290" s="10">
        <v>1</v>
      </c>
      <c r="C290" s="10">
        <v>244.182137229245</v>
      </c>
      <c r="E290" s="10">
        <v>2022</v>
      </c>
      <c r="F290" s="10">
        <v>1</v>
      </c>
      <c r="G290" s="10">
        <v>244.315118390393</v>
      </c>
    </row>
    <row r="291" spans="1:7" x14ac:dyDescent="0.25">
      <c r="A291" s="10">
        <v>2022</v>
      </c>
      <c r="B291" s="10">
        <v>2</v>
      </c>
      <c r="C291" s="10">
        <v>260.430556632216</v>
      </c>
      <c r="E291" s="10">
        <v>2022</v>
      </c>
      <c r="F291" s="10">
        <v>2</v>
      </c>
      <c r="G291" s="10">
        <v>261.48159434490702</v>
      </c>
    </row>
    <row r="292" spans="1:7" x14ac:dyDescent="0.25">
      <c r="A292" s="10">
        <v>2022</v>
      </c>
      <c r="B292" s="10">
        <v>3</v>
      </c>
      <c r="C292" s="10">
        <v>254.10769675208601</v>
      </c>
      <c r="E292" s="10">
        <v>2022</v>
      </c>
      <c r="F292" s="10">
        <v>3</v>
      </c>
      <c r="G292" s="10">
        <v>254.861587664171</v>
      </c>
    </row>
    <row r="293" spans="1:7" x14ac:dyDescent="0.25">
      <c r="A293" s="10">
        <v>2022</v>
      </c>
      <c r="B293" s="10">
        <v>4</v>
      </c>
      <c r="C293" s="10">
        <v>259.52974862513099</v>
      </c>
      <c r="E293" s="10">
        <v>2022</v>
      </c>
      <c r="F293" s="10">
        <v>4</v>
      </c>
      <c r="G293" s="10">
        <v>259.211440497186</v>
      </c>
    </row>
    <row r="294" spans="1:7" x14ac:dyDescent="0.25">
      <c r="A294" s="10">
        <v>2022</v>
      </c>
      <c r="B294" s="10">
        <v>5</v>
      </c>
      <c r="C294" s="10">
        <v>269.25545738575897</v>
      </c>
      <c r="E294" s="10">
        <v>2022</v>
      </c>
      <c r="F294" s="10">
        <v>5</v>
      </c>
      <c r="G294" s="10">
        <v>269.39225853103397</v>
      </c>
    </row>
    <row r="295" spans="1:7" x14ac:dyDescent="0.25">
      <c r="A295" s="10">
        <v>2022</v>
      </c>
      <c r="B295" s="10">
        <v>6</v>
      </c>
      <c r="C295" s="10">
        <v>261.249201767849</v>
      </c>
      <c r="E295" s="10">
        <v>2022</v>
      </c>
      <c r="F295" s="10">
        <v>6</v>
      </c>
      <c r="G295" s="10">
        <v>260.54612097528502</v>
      </c>
    </row>
    <row r="296" spans="1:7" x14ac:dyDescent="0.25">
      <c r="A296" s="10">
        <v>2022</v>
      </c>
      <c r="B296" s="10">
        <v>7</v>
      </c>
      <c r="C296" s="10">
        <v>260.43670318922</v>
      </c>
      <c r="E296" s="10">
        <v>2022</v>
      </c>
      <c r="F296" s="10">
        <v>7</v>
      </c>
      <c r="G296" s="10">
        <v>260.39573355228799</v>
      </c>
    </row>
    <row r="297" spans="1:7" x14ac:dyDescent="0.25">
      <c r="A297" s="10">
        <v>2022</v>
      </c>
      <c r="B297" s="10">
        <v>8</v>
      </c>
      <c r="C297" s="10">
        <v>269.397750279202</v>
      </c>
      <c r="E297" s="10">
        <v>2022</v>
      </c>
      <c r="F297" s="10">
        <v>8</v>
      </c>
      <c r="G297" s="10">
        <v>271.44403533966198</v>
      </c>
    </row>
    <row r="298" spans="1:7" x14ac:dyDescent="0.25">
      <c r="A298" s="10">
        <v>2022</v>
      </c>
      <c r="B298" s="10">
        <v>9</v>
      </c>
      <c r="C298" s="10">
        <v>269.05522939682999</v>
      </c>
      <c r="E298" s="10">
        <v>2022</v>
      </c>
      <c r="F298" s="10">
        <v>9</v>
      </c>
      <c r="G298" s="10">
        <v>268.21818279439202</v>
      </c>
    </row>
    <row r="299" spans="1:7" x14ac:dyDescent="0.25">
      <c r="A299" s="10">
        <v>2022</v>
      </c>
      <c r="B299" s="10">
        <v>10</v>
      </c>
      <c r="C299" s="10">
        <v>261.15242413405701</v>
      </c>
      <c r="E299" s="10">
        <v>2022</v>
      </c>
      <c r="F299" s="10">
        <v>10</v>
      </c>
      <c r="G299" s="10">
        <v>259.83485671055502</v>
      </c>
    </row>
    <row r="300" spans="1:7" x14ac:dyDescent="0.25">
      <c r="A300" s="10">
        <v>2022</v>
      </c>
      <c r="B300" s="10">
        <v>11</v>
      </c>
      <c r="C300" s="10">
        <v>270.098889444078</v>
      </c>
      <c r="E300" s="10">
        <v>2022</v>
      </c>
      <c r="F300" s="10">
        <v>11</v>
      </c>
      <c r="G300" s="10">
        <v>269.923849756359</v>
      </c>
    </row>
    <row r="301" spans="1:7" x14ac:dyDescent="0.25">
      <c r="A301" s="10">
        <v>2022</v>
      </c>
      <c r="B301" s="10">
        <v>12</v>
      </c>
      <c r="C301" s="10">
        <v>280.52038820413901</v>
      </c>
      <c r="E301" s="10">
        <v>2022</v>
      </c>
      <c r="F301" s="10">
        <v>12</v>
      </c>
      <c r="G301" s="10">
        <v>279.04151396433298</v>
      </c>
    </row>
    <row r="302" spans="1:7" x14ac:dyDescent="0.25">
      <c r="A302" s="10">
        <v>2023</v>
      </c>
      <c r="B302" s="10">
        <v>1</v>
      </c>
      <c r="C302" s="10">
        <v>283.88410615022502</v>
      </c>
      <c r="E302" s="10">
        <v>2023</v>
      </c>
      <c r="F302" s="10">
        <v>1</v>
      </c>
      <c r="G302" s="10">
        <v>283.96305091044098</v>
      </c>
    </row>
    <row r="303" spans="1:7" x14ac:dyDescent="0.25">
      <c r="A303" s="10">
        <v>2023</v>
      </c>
      <c r="B303" s="10">
        <v>2</v>
      </c>
      <c r="C303" s="10">
        <v>262.90735811889698</v>
      </c>
      <c r="E303" s="10">
        <v>2023</v>
      </c>
      <c r="F303" s="10">
        <v>2</v>
      </c>
      <c r="G303" s="10">
        <v>264.51226528114</v>
      </c>
    </row>
    <row r="304" spans="1:7" x14ac:dyDescent="0.25">
      <c r="A304" s="10">
        <v>2023</v>
      </c>
      <c r="B304" s="10">
        <v>3</v>
      </c>
      <c r="C304" s="10">
        <v>285.79984271455402</v>
      </c>
      <c r="E304" s="10">
        <v>2023</v>
      </c>
      <c r="F304" s="10">
        <v>3</v>
      </c>
      <c r="G304" s="10">
        <v>287.26427509309002</v>
      </c>
    </row>
    <row r="305" spans="1:7" x14ac:dyDescent="0.25">
      <c r="A305" s="10">
        <v>2023</v>
      </c>
      <c r="B305" s="10">
        <v>4</v>
      </c>
      <c r="C305" s="10">
        <v>289.916678503821</v>
      </c>
      <c r="E305" s="10">
        <v>2023</v>
      </c>
      <c r="F305" s="10">
        <v>4</v>
      </c>
      <c r="G305" s="10">
        <v>289.29820979630898</v>
      </c>
    </row>
    <row r="306" spans="1:7" x14ac:dyDescent="0.25">
      <c r="A306" s="10">
        <v>2023</v>
      </c>
      <c r="B306" s="10">
        <v>5</v>
      </c>
      <c r="C306" s="10">
        <v>280.16161328309602</v>
      </c>
      <c r="E306" s="10">
        <v>2023</v>
      </c>
      <c r="F306" s="10">
        <v>5</v>
      </c>
      <c r="G306" s="10">
        <v>280.47933591961498</v>
      </c>
    </row>
    <row r="307" spans="1:7" x14ac:dyDescent="0.25">
      <c r="A307" s="10">
        <v>2023</v>
      </c>
      <c r="B307" s="10">
        <v>6</v>
      </c>
      <c r="C307" s="10">
        <v>291.75935821788602</v>
      </c>
      <c r="E307" s="10">
        <v>2023</v>
      </c>
      <c r="F307" s="10">
        <v>6</v>
      </c>
      <c r="G307" s="10">
        <v>290.94370009427797</v>
      </c>
    </row>
    <row r="308" spans="1:7" x14ac:dyDescent="0.25">
      <c r="A308" s="10">
        <v>2023</v>
      </c>
      <c r="B308" s="10">
        <v>7</v>
      </c>
      <c r="C308" s="10">
        <v>287.78253215639501</v>
      </c>
      <c r="E308" s="10">
        <v>2023</v>
      </c>
      <c r="F308" s="10">
        <v>7</v>
      </c>
      <c r="G308" s="10">
        <v>287.87637984530102</v>
      </c>
    </row>
    <row r="309" spans="1:7" x14ac:dyDescent="0.25">
      <c r="A309" s="10">
        <v>2023</v>
      </c>
      <c r="B309" s="10">
        <v>8</v>
      </c>
      <c r="C309" s="10">
        <v>258.32503573817399</v>
      </c>
      <c r="E309" s="10">
        <v>2023</v>
      </c>
      <c r="F309" s="10">
        <v>8</v>
      </c>
      <c r="G309" s="10">
        <v>260.489265843824</v>
      </c>
    </row>
    <row r="310" spans="1:7" x14ac:dyDescent="0.25">
      <c r="A310" s="10">
        <v>2023</v>
      </c>
      <c r="B310" s="10">
        <v>9</v>
      </c>
      <c r="C310" s="10">
        <v>264.67311231190899</v>
      </c>
      <c r="E310" s="10">
        <v>2023</v>
      </c>
      <c r="F310" s="10">
        <v>9</v>
      </c>
      <c r="G310" s="10">
        <v>263.79849412063999</v>
      </c>
    </row>
    <row r="311" spans="1:7" x14ac:dyDescent="0.25">
      <c r="A311" s="10">
        <v>2023</v>
      </c>
      <c r="B311" s="10">
        <v>10</v>
      </c>
      <c r="C311" s="10">
        <v>256.82657530427701</v>
      </c>
      <c r="E311" s="10">
        <v>2023</v>
      </c>
      <c r="F311" s="10">
        <v>10</v>
      </c>
      <c r="G311" s="10">
        <v>254.863166659988</v>
      </c>
    </row>
    <row r="312" spans="1:7" x14ac:dyDescent="0.25">
      <c r="A312" s="10">
        <v>2023</v>
      </c>
      <c r="B312" s="10">
        <v>11</v>
      </c>
      <c r="C312" s="10">
        <v>280.88803269003898</v>
      </c>
      <c r="E312" s="10">
        <v>2023</v>
      </c>
      <c r="F312" s="10">
        <v>11</v>
      </c>
      <c r="G312" s="10">
        <v>280.91677727296798</v>
      </c>
    </row>
    <row r="313" spans="1:7" x14ac:dyDescent="0.25">
      <c r="A313" s="10">
        <v>2023</v>
      </c>
      <c r="B313" s="10">
        <v>12</v>
      </c>
      <c r="C313" s="10">
        <v>253.20260801828499</v>
      </c>
      <c r="E313" s="10">
        <v>2023</v>
      </c>
      <c r="F313" s="10">
        <v>12</v>
      </c>
      <c r="G313" s="10">
        <v>250.93286687564</v>
      </c>
    </row>
    <row r="314" spans="1:7" x14ac:dyDescent="0.25">
      <c r="A314" s="10">
        <v>2024</v>
      </c>
      <c r="B314" s="10">
        <v>1</v>
      </c>
      <c r="C314" s="10">
        <v>268.137474800711</v>
      </c>
      <c r="E314" s="10">
        <v>2024</v>
      </c>
      <c r="F314" s="10">
        <v>1</v>
      </c>
      <c r="G314" s="10">
        <v>268.05983853361897</v>
      </c>
    </row>
    <row r="315" spans="1:7" x14ac:dyDescent="0.25">
      <c r="A315" s="10">
        <v>2024</v>
      </c>
      <c r="B315" s="10">
        <v>2</v>
      </c>
      <c r="C315" s="10">
        <v>258.22475763110901</v>
      </c>
      <c r="E315" s="10">
        <v>2024</v>
      </c>
      <c r="F315" s="10">
        <v>2</v>
      </c>
      <c r="G315" s="10">
        <v>260.379943273241</v>
      </c>
    </row>
    <row r="316" spans="1:7" x14ac:dyDescent="0.25">
      <c r="A316" s="10">
        <v>2024</v>
      </c>
      <c r="B316" s="10">
        <v>3</v>
      </c>
      <c r="C316" s="10">
        <v>255.43369063007901</v>
      </c>
      <c r="E316" s="10">
        <v>2024</v>
      </c>
      <c r="F316" s="10">
        <v>3</v>
      </c>
      <c r="G316" s="10">
        <v>257.283917536736</v>
      </c>
    </row>
    <row r="317" spans="1:7" x14ac:dyDescent="0.25">
      <c r="A317" s="10">
        <v>2024</v>
      </c>
      <c r="B317" s="10">
        <v>4</v>
      </c>
      <c r="C317" s="10">
        <v>246.31559698468101</v>
      </c>
      <c r="E317" s="10">
        <v>2024</v>
      </c>
      <c r="F317" s="10">
        <v>4</v>
      </c>
      <c r="G317" s="10">
        <v>245.55543446805399</v>
      </c>
    </row>
    <row r="318" spans="1:7" x14ac:dyDescent="0.25">
      <c r="A318" s="10">
        <v>2024</v>
      </c>
      <c r="B318" s="10">
        <v>5</v>
      </c>
      <c r="C318" s="10">
        <v>258.34373818950502</v>
      </c>
      <c r="E318" s="10">
        <v>2024</v>
      </c>
      <c r="F318" s="10">
        <v>5</v>
      </c>
      <c r="G318" s="10">
        <v>259.00832657025501</v>
      </c>
    </row>
    <row r="319" spans="1:7" x14ac:dyDescent="0.25">
      <c r="A319" s="10">
        <v>2024</v>
      </c>
      <c r="B319" s="10">
        <v>6</v>
      </c>
      <c r="C319" s="10">
        <v>243.320988934577</v>
      </c>
      <c r="E319" s="10">
        <v>2024</v>
      </c>
      <c r="F319" s="10">
        <v>6</v>
      </c>
      <c r="G319" s="10">
        <v>242.61738649454</v>
      </c>
    </row>
    <row r="320" spans="1:7" x14ac:dyDescent="0.25">
      <c r="A320" s="10">
        <v>2024</v>
      </c>
      <c r="B320" s="10">
        <v>7</v>
      </c>
      <c r="C320" s="10">
        <v>268.15490105288001</v>
      </c>
      <c r="E320" s="10">
        <v>2024</v>
      </c>
      <c r="F320" s="10">
        <v>7</v>
      </c>
      <c r="G320" s="10">
        <v>268.03738412169901</v>
      </c>
    </row>
    <row r="321" spans="1:7" x14ac:dyDescent="0.25">
      <c r="A321" s="10">
        <v>2024</v>
      </c>
      <c r="B321" s="10">
        <v>8</v>
      </c>
      <c r="C321" s="10">
        <v>267.43519802309999</v>
      </c>
      <c r="E321" s="10">
        <v>2024</v>
      </c>
      <c r="F321" s="10">
        <v>8</v>
      </c>
      <c r="G321" s="10">
        <v>269.95058440949299</v>
      </c>
    </row>
    <row r="322" spans="1:7" x14ac:dyDescent="0.25">
      <c r="A322" s="10">
        <v>2024</v>
      </c>
      <c r="B322" s="10">
        <v>9</v>
      </c>
      <c r="C322" s="10">
        <v>276.95019257229001</v>
      </c>
      <c r="E322" s="10">
        <v>2024</v>
      </c>
      <c r="F322" s="10">
        <v>9</v>
      </c>
      <c r="G322" s="10">
        <v>275.94279983257297</v>
      </c>
    </row>
    <row r="323" spans="1:7" x14ac:dyDescent="0.25">
      <c r="A323" s="10">
        <v>2024</v>
      </c>
      <c r="B323" s="10">
        <v>10</v>
      </c>
      <c r="C323" s="10">
        <v>279.70132885647399</v>
      </c>
      <c r="E323" s="10">
        <v>2024</v>
      </c>
      <c r="F323" s="10">
        <v>10</v>
      </c>
      <c r="G323" s="10">
        <v>280.06809319236902</v>
      </c>
    </row>
    <row r="324" spans="1:7" x14ac:dyDescent="0.25">
      <c r="A324" s="10">
        <v>2024</v>
      </c>
      <c r="B324" s="10">
        <v>11</v>
      </c>
      <c r="C324" s="10">
        <v>264.23090151494802</v>
      </c>
      <c r="E324" s="10">
        <v>2024</v>
      </c>
      <c r="F324" s="10">
        <v>11</v>
      </c>
      <c r="G324" s="10">
        <v>267.64270514157499</v>
      </c>
    </row>
    <row r="325" spans="1:7" x14ac:dyDescent="0.25">
      <c r="A325" s="10">
        <v>2024</v>
      </c>
      <c r="B325" s="10">
        <v>12</v>
      </c>
      <c r="C325" s="10">
        <v>280.455260690557</v>
      </c>
      <c r="E325" s="10">
        <v>2024</v>
      </c>
      <c r="F325" s="10">
        <v>12</v>
      </c>
      <c r="G325" s="10">
        <v>277.623029827285</v>
      </c>
    </row>
    <row r="326" spans="1:7" x14ac:dyDescent="0.25">
      <c r="E326" s="10">
        <v>2025</v>
      </c>
      <c r="F326" s="10">
        <v>1</v>
      </c>
      <c r="G326" s="10">
        <v>263.069674159101</v>
      </c>
    </row>
    <row r="327" spans="1:7" x14ac:dyDescent="0.25">
      <c r="E327" s="10">
        <v>2025</v>
      </c>
      <c r="F327" s="10">
        <v>2</v>
      </c>
      <c r="G327" s="10">
        <v>260.36822687287099</v>
      </c>
    </row>
    <row r="328" spans="1:7" x14ac:dyDescent="0.25">
      <c r="E328" s="10">
        <v>2025</v>
      </c>
      <c r="F328" s="10">
        <v>3</v>
      </c>
      <c r="G328" s="10">
        <v>246.002488041552</v>
      </c>
    </row>
    <row r="329" spans="1:7" x14ac:dyDescent="0.25">
      <c r="E329" s="10">
        <v>2025</v>
      </c>
      <c r="F329" s="10">
        <v>4</v>
      </c>
      <c r="G329" s="10">
        <v>265.95959851419201</v>
      </c>
    </row>
    <row r="330" spans="1:7" x14ac:dyDescent="0.25">
      <c r="E330" s="10">
        <v>2025</v>
      </c>
      <c r="F330" s="10">
        <v>5</v>
      </c>
      <c r="G330" s="10">
        <v>259.60818139776097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89AC-BC26-4365-AA6E-5CD9D3758B56}">
  <dimension ref="A1:AY339"/>
  <sheetViews>
    <sheetView topLeftCell="AD1" workbookViewId="0">
      <selection activeCell="AY2" sqref="AY2:AY339"/>
    </sheetView>
  </sheetViews>
  <sheetFormatPr baseColWidth="10" defaultRowHeight="15" x14ac:dyDescent="0.25"/>
  <cols>
    <col min="3" max="3" width="11.42578125" style="11"/>
    <col min="21" max="23" width="11.42578125" style="11"/>
    <col min="25" max="27" width="11.42578125" style="18"/>
  </cols>
  <sheetData>
    <row r="1" spans="1:51" ht="57" x14ac:dyDescent="0.25">
      <c r="A1" s="7" t="s">
        <v>30</v>
      </c>
      <c r="B1" s="7" t="s">
        <v>31</v>
      </c>
      <c r="C1" s="9" t="s">
        <v>32</v>
      </c>
      <c r="E1" s="9" t="s">
        <v>30</v>
      </c>
      <c r="F1" s="9" t="s">
        <v>31</v>
      </c>
      <c r="G1" s="9" t="s">
        <v>32</v>
      </c>
      <c r="I1" s="9" t="s">
        <v>30</v>
      </c>
      <c r="J1" s="9" t="s">
        <v>31</v>
      </c>
      <c r="K1" s="9" t="s">
        <v>32</v>
      </c>
      <c r="M1" s="9" t="s">
        <v>30</v>
      </c>
      <c r="N1" s="9" t="s">
        <v>31</v>
      </c>
      <c r="O1" s="9" t="s">
        <v>32</v>
      </c>
      <c r="Q1" s="9" t="s">
        <v>30</v>
      </c>
      <c r="R1" s="9" t="s">
        <v>31</v>
      </c>
      <c r="S1" s="9" t="s">
        <v>32</v>
      </c>
      <c r="U1" s="9" t="s">
        <v>30</v>
      </c>
      <c r="V1" s="9" t="s">
        <v>31</v>
      </c>
      <c r="W1" s="9" t="s">
        <v>32</v>
      </c>
      <c r="Y1" s="16" t="s">
        <v>30</v>
      </c>
      <c r="Z1" s="16" t="s">
        <v>31</v>
      </c>
      <c r="AA1" s="16" t="s">
        <v>39</v>
      </c>
      <c r="AC1" s="9" t="s">
        <v>30</v>
      </c>
      <c r="AD1" s="9" t="s">
        <v>31</v>
      </c>
      <c r="AE1" s="9" t="s">
        <v>32</v>
      </c>
      <c r="AG1" s="9" t="s">
        <v>30</v>
      </c>
      <c r="AH1" s="9" t="s">
        <v>31</v>
      </c>
      <c r="AI1" s="9" t="s">
        <v>32</v>
      </c>
      <c r="AK1" s="9" t="s">
        <v>30</v>
      </c>
      <c r="AL1" s="9" t="s">
        <v>31</v>
      </c>
      <c r="AM1" s="9" t="s">
        <v>32</v>
      </c>
      <c r="AO1" s="9" t="s">
        <v>30</v>
      </c>
      <c r="AP1" s="9" t="s">
        <v>31</v>
      </c>
      <c r="AQ1" s="9" t="s">
        <v>32</v>
      </c>
      <c r="AS1" s="9" t="s">
        <v>30</v>
      </c>
      <c r="AT1" s="9" t="s">
        <v>31</v>
      </c>
      <c r="AU1" s="9" t="s">
        <v>32</v>
      </c>
      <c r="AW1" s="9" t="s">
        <v>30</v>
      </c>
      <c r="AX1" s="9" t="s">
        <v>31</v>
      </c>
      <c r="AY1" s="9" t="s">
        <v>32</v>
      </c>
    </row>
    <row r="2" spans="1:51" x14ac:dyDescent="0.25">
      <c r="A2" s="8">
        <v>1998</v>
      </c>
      <c r="B2" s="8">
        <v>1</v>
      </c>
      <c r="C2" s="10">
        <v>209.59888260276699</v>
      </c>
      <c r="E2" s="10">
        <v>1998</v>
      </c>
      <c r="F2" s="10">
        <v>1</v>
      </c>
      <c r="G2" s="10">
        <v>209.14009043646101</v>
      </c>
      <c r="I2" s="10">
        <v>1998</v>
      </c>
      <c r="J2" s="10">
        <v>1</v>
      </c>
      <c r="K2" s="10">
        <v>209.14491927635501</v>
      </c>
      <c r="M2" s="10">
        <v>1998</v>
      </c>
      <c r="N2" s="10">
        <v>1</v>
      </c>
      <c r="O2" s="10">
        <v>209.11969557434401</v>
      </c>
      <c r="Q2" s="10">
        <v>1998</v>
      </c>
      <c r="R2" s="10">
        <v>1</v>
      </c>
      <c r="S2" s="10">
        <v>209.09993589035</v>
      </c>
      <c r="U2" s="10">
        <v>1998</v>
      </c>
      <c r="V2" s="10">
        <v>1</v>
      </c>
      <c r="W2" s="10">
        <v>209.07019842358301</v>
      </c>
      <c r="Y2" s="17">
        <v>2003</v>
      </c>
      <c r="Z2" s="17">
        <v>1</v>
      </c>
      <c r="AA2" s="17">
        <v>30918.372229454901</v>
      </c>
      <c r="AC2" s="10">
        <v>1998</v>
      </c>
      <c r="AD2" s="10">
        <v>1</v>
      </c>
      <c r="AE2" s="10">
        <v>209.07327974044401</v>
      </c>
      <c r="AG2" s="10">
        <v>1998</v>
      </c>
      <c r="AH2" s="10">
        <v>1</v>
      </c>
      <c r="AI2" s="10">
        <v>209.054945583435</v>
      </c>
      <c r="AK2" s="10">
        <v>1998</v>
      </c>
      <c r="AL2" s="10">
        <v>1</v>
      </c>
      <c r="AM2" s="10">
        <v>209.075810614804</v>
      </c>
      <c r="AO2" s="10">
        <v>1998</v>
      </c>
      <c r="AP2" s="10">
        <v>1</v>
      </c>
      <c r="AQ2" s="10">
        <v>209.04436214071299</v>
      </c>
      <c r="AS2" s="10">
        <v>1998</v>
      </c>
      <c r="AT2" s="10">
        <v>1</v>
      </c>
      <c r="AU2" s="10">
        <v>209.06532631589499</v>
      </c>
      <c r="AW2" s="10">
        <v>1998</v>
      </c>
      <c r="AX2" s="10">
        <v>1</v>
      </c>
      <c r="AY2" s="10">
        <v>209.06409290882399</v>
      </c>
    </row>
    <row r="3" spans="1:51" x14ac:dyDescent="0.25">
      <c r="A3" s="8">
        <v>1998</v>
      </c>
      <c r="B3" s="8">
        <v>2</v>
      </c>
      <c r="C3" s="10">
        <v>206.374170870629</v>
      </c>
      <c r="E3" s="10">
        <v>1998</v>
      </c>
      <c r="F3" s="10">
        <v>2</v>
      </c>
      <c r="G3" s="10">
        <v>206.23097361491099</v>
      </c>
      <c r="I3" s="10">
        <v>1998</v>
      </c>
      <c r="J3" s="10">
        <v>2</v>
      </c>
      <c r="K3" s="10">
        <v>206.22876910150299</v>
      </c>
      <c r="M3" s="10">
        <v>1998</v>
      </c>
      <c r="N3" s="10">
        <v>2</v>
      </c>
      <c r="O3" s="10">
        <v>206.225988396655</v>
      </c>
      <c r="Q3" s="10">
        <v>1998</v>
      </c>
      <c r="R3" s="10">
        <v>2</v>
      </c>
      <c r="S3" s="10">
        <v>206.20395328820399</v>
      </c>
      <c r="U3" s="10">
        <v>1998</v>
      </c>
      <c r="V3" s="10">
        <v>2</v>
      </c>
      <c r="W3" s="10">
        <v>206.26937624560799</v>
      </c>
      <c r="Y3" s="17">
        <v>2003</v>
      </c>
      <c r="Z3" s="17">
        <v>2</v>
      </c>
      <c r="AA3" s="17">
        <v>30495.899087828398</v>
      </c>
      <c r="AC3" s="10">
        <v>1998</v>
      </c>
      <c r="AD3" s="10">
        <v>2</v>
      </c>
      <c r="AE3" s="10">
        <v>206.271165552783</v>
      </c>
      <c r="AG3" s="10">
        <v>1998</v>
      </c>
      <c r="AH3" s="10">
        <v>2</v>
      </c>
      <c r="AI3" s="10">
        <v>206.27100696602301</v>
      </c>
      <c r="AK3" s="10">
        <v>1998</v>
      </c>
      <c r="AL3" s="10">
        <v>2</v>
      </c>
      <c r="AM3" s="10">
        <v>206.27500752514999</v>
      </c>
      <c r="AO3" s="10">
        <v>1998</v>
      </c>
      <c r="AP3" s="10">
        <v>2</v>
      </c>
      <c r="AQ3" s="10">
        <v>206.26926615758899</v>
      </c>
      <c r="AS3" s="10">
        <v>1998</v>
      </c>
      <c r="AT3" s="10">
        <v>2</v>
      </c>
      <c r="AU3" s="10">
        <v>206.58399097878001</v>
      </c>
      <c r="AW3" s="10">
        <v>1998</v>
      </c>
      <c r="AX3" s="10">
        <v>2</v>
      </c>
      <c r="AY3" s="10">
        <v>206.63421410730399</v>
      </c>
    </row>
    <row r="4" spans="1:51" x14ac:dyDescent="0.25">
      <c r="A4" s="8">
        <v>1998</v>
      </c>
      <c r="B4" s="8">
        <v>3</v>
      </c>
      <c r="C4" s="10">
        <v>205.05303438061901</v>
      </c>
      <c r="E4" s="10">
        <v>1998</v>
      </c>
      <c r="F4" s="10">
        <v>3</v>
      </c>
      <c r="G4" s="10">
        <v>205.43704043910401</v>
      </c>
      <c r="I4" s="10">
        <v>1998</v>
      </c>
      <c r="J4" s="10">
        <v>3</v>
      </c>
      <c r="K4" s="10">
        <v>205.436458803638</v>
      </c>
      <c r="M4" s="10">
        <v>1998</v>
      </c>
      <c r="N4" s="10">
        <v>3</v>
      </c>
      <c r="O4" s="10">
        <v>205.45715654949601</v>
      </c>
      <c r="Q4" s="10">
        <v>1998</v>
      </c>
      <c r="R4" s="10">
        <v>3</v>
      </c>
      <c r="S4" s="10">
        <v>205.499648206827</v>
      </c>
      <c r="U4" s="10">
        <v>1998</v>
      </c>
      <c r="V4" s="10">
        <v>3</v>
      </c>
      <c r="W4" s="10">
        <v>205.56870364695899</v>
      </c>
      <c r="Y4" s="17">
        <v>2003</v>
      </c>
      <c r="Z4" s="17">
        <v>3</v>
      </c>
      <c r="AA4" s="17">
        <v>29731.183619031501</v>
      </c>
      <c r="AC4" s="10">
        <v>1998</v>
      </c>
      <c r="AD4" s="10">
        <v>3</v>
      </c>
      <c r="AE4" s="10">
        <v>205.564128667174</v>
      </c>
      <c r="AG4" s="10">
        <v>1998</v>
      </c>
      <c r="AH4" s="10">
        <v>3</v>
      </c>
      <c r="AI4" s="10">
        <v>205.578183200029</v>
      </c>
      <c r="AK4" s="10">
        <v>1998</v>
      </c>
      <c r="AL4" s="10">
        <v>3</v>
      </c>
      <c r="AM4" s="10">
        <v>205.56120577377999</v>
      </c>
      <c r="AO4" s="10">
        <v>1998</v>
      </c>
      <c r="AP4" s="10">
        <v>3</v>
      </c>
      <c r="AQ4" s="10">
        <v>205.588668314828</v>
      </c>
      <c r="AS4" s="10">
        <v>1998</v>
      </c>
      <c r="AT4" s="10">
        <v>3</v>
      </c>
      <c r="AU4" s="10">
        <v>205.570030865212</v>
      </c>
      <c r="AW4" s="10">
        <v>1998</v>
      </c>
      <c r="AX4" s="10">
        <v>3</v>
      </c>
      <c r="AY4" s="10">
        <v>205.57003582922701</v>
      </c>
    </row>
    <row r="5" spans="1:51" x14ac:dyDescent="0.25">
      <c r="A5" s="8">
        <v>1998</v>
      </c>
      <c r="B5" s="8">
        <v>4</v>
      </c>
      <c r="C5" s="10">
        <v>208.979540437911</v>
      </c>
      <c r="E5" s="10">
        <v>1998</v>
      </c>
      <c r="F5" s="10">
        <v>4</v>
      </c>
      <c r="G5" s="10">
        <v>208.252985805349</v>
      </c>
      <c r="I5" s="10">
        <v>1998</v>
      </c>
      <c r="J5" s="10">
        <v>4</v>
      </c>
      <c r="K5" s="10">
        <v>208.25925694187299</v>
      </c>
      <c r="M5" s="10">
        <v>1998</v>
      </c>
      <c r="N5" s="10">
        <v>4</v>
      </c>
      <c r="O5" s="10">
        <v>208.22113954278601</v>
      </c>
      <c r="Q5" s="10">
        <v>1998</v>
      </c>
      <c r="R5" s="10">
        <v>4</v>
      </c>
      <c r="S5" s="10">
        <v>208.18233419491801</v>
      </c>
      <c r="U5" s="10">
        <v>1998</v>
      </c>
      <c r="V5" s="10">
        <v>4</v>
      </c>
      <c r="W5" s="10">
        <v>208.11618242368201</v>
      </c>
      <c r="Y5" s="17">
        <v>2003</v>
      </c>
      <c r="Z5" s="17">
        <v>4</v>
      </c>
      <c r="AA5" s="17">
        <v>29102.246001166</v>
      </c>
      <c r="AC5" s="10">
        <v>1998</v>
      </c>
      <c r="AD5" s="10">
        <v>4</v>
      </c>
      <c r="AE5" s="10">
        <v>208.121718432199</v>
      </c>
      <c r="AG5" s="10">
        <v>1998</v>
      </c>
      <c r="AH5" s="10">
        <v>4</v>
      </c>
      <c r="AI5" s="10">
        <v>208.094507600741</v>
      </c>
      <c r="AK5" s="10">
        <v>1998</v>
      </c>
      <c r="AL5" s="10">
        <v>4</v>
      </c>
      <c r="AM5" s="10">
        <v>208.125770898887</v>
      </c>
      <c r="AO5" s="10">
        <v>1998</v>
      </c>
      <c r="AP5" s="10">
        <v>4</v>
      </c>
      <c r="AQ5" s="10">
        <v>208.08060985206299</v>
      </c>
      <c r="AS5" s="10">
        <v>1998</v>
      </c>
      <c r="AT5" s="10">
        <v>4</v>
      </c>
      <c r="AU5" s="10">
        <v>208.096823017579</v>
      </c>
      <c r="AW5" s="10">
        <v>1998</v>
      </c>
      <c r="AX5" s="10">
        <v>4</v>
      </c>
      <c r="AY5" s="10">
        <v>208.091883170822</v>
      </c>
    </row>
    <row r="6" spans="1:51" x14ac:dyDescent="0.25">
      <c r="A6" s="8">
        <v>1998</v>
      </c>
      <c r="B6" s="8">
        <v>5</v>
      </c>
      <c r="C6" s="10">
        <v>206.042284102906</v>
      </c>
      <c r="E6" s="10">
        <v>1998</v>
      </c>
      <c r="F6" s="10">
        <v>5</v>
      </c>
      <c r="G6" s="10">
        <v>206.75240502282799</v>
      </c>
      <c r="I6" s="10">
        <v>1998</v>
      </c>
      <c r="J6" s="10">
        <v>5</v>
      </c>
      <c r="K6" s="10">
        <v>206.74355757416001</v>
      </c>
      <c r="M6" s="10">
        <v>1998</v>
      </c>
      <c r="N6" s="10">
        <v>5</v>
      </c>
      <c r="O6" s="10">
        <v>206.795168327466</v>
      </c>
      <c r="Q6" s="10">
        <v>1998</v>
      </c>
      <c r="R6" s="10">
        <v>5</v>
      </c>
      <c r="S6" s="10">
        <v>206.84311639589399</v>
      </c>
      <c r="U6" s="10">
        <v>1998</v>
      </c>
      <c r="V6" s="10">
        <v>5</v>
      </c>
      <c r="W6" s="10">
        <v>206.90904540503399</v>
      </c>
      <c r="Y6" s="17">
        <v>2003</v>
      </c>
      <c r="Z6" s="17">
        <v>5</v>
      </c>
      <c r="AA6" s="17">
        <v>28741.340839770401</v>
      </c>
      <c r="AC6" s="10">
        <v>1998</v>
      </c>
      <c r="AD6" s="10">
        <v>5</v>
      </c>
      <c r="AE6" s="10">
        <v>206.90218637490301</v>
      </c>
      <c r="AG6" s="10">
        <v>1998</v>
      </c>
      <c r="AH6" s="10">
        <v>5</v>
      </c>
      <c r="AI6" s="10">
        <v>206.93949532852801</v>
      </c>
      <c r="AK6" s="10">
        <v>1998</v>
      </c>
      <c r="AL6" s="10">
        <v>5</v>
      </c>
      <c r="AM6" s="10">
        <v>206.89655938373201</v>
      </c>
      <c r="AO6" s="10">
        <v>1998</v>
      </c>
      <c r="AP6" s="10">
        <v>5</v>
      </c>
      <c r="AQ6" s="10">
        <v>206.96392715955301</v>
      </c>
      <c r="AS6" s="10">
        <v>1998</v>
      </c>
      <c r="AT6" s="10">
        <v>5</v>
      </c>
      <c r="AU6" s="10">
        <v>206.89577132438399</v>
      </c>
      <c r="AW6" s="10">
        <v>1998</v>
      </c>
      <c r="AX6" s="10">
        <v>5</v>
      </c>
      <c r="AY6" s="10">
        <v>206.89405104024701</v>
      </c>
    </row>
    <row r="7" spans="1:51" x14ac:dyDescent="0.25">
      <c r="A7" s="8">
        <v>1998</v>
      </c>
      <c r="B7" s="8">
        <v>6</v>
      </c>
      <c r="C7" s="10">
        <v>199.20631177480999</v>
      </c>
      <c r="E7" s="10">
        <v>1998</v>
      </c>
      <c r="F7" s="10">
        <v>6</v>
      </c>
      <c r="G7" s="10">
        <v>198.86511103549</v>
      </c>
      <c r="I7" s="10">
        <v>1998</v>
      </c>
      <c r="J7" s="10">
        <v>6</v>
      </c>
      <c r="K7" s="10">
        <v>198.866349703016</v>
      </c>
      <c r="M7" s="10">
        <v>1998</v>
      </c>
      <c r="N7" s="10">
        <v>6</v>
      </c>
      <c r="O7" s="10">
        <v>198.855764112625</v>
      </c>
      <c r="Q7" s="10">
        <v>1998</v>
      </c>
      <c r="R7" s="10">
        <v>6</v>
      </c>
      <c r="S7" s="10">
        <v>198.84065753564801</v>
      </c>
      <c r="U7" s="10">
        <v>1998</v>
      </c>
      <c r="V7" s="10">
        <v>6</v>
      </c>
      <c r="W7" s="10">
        <v>198.80983083755501</v>
      </c>
      <c r="Y7" s="17">
        <v>2003</v>
      </c>
      <c r="Z7" s="17">
        <v>6</v>
      </c>
      <c r="AA7" s="17">
        <v>28222.504575763302</v>
      </c>
      <c r="AC7" s="10">
        <v>1998</v>
      </c>
      <c r="AD7" s="10">
        <v>6</v>
      </c>
      <c r="AE7" s="10">
        <v>198.811745253032</v>
      </c>
      <c r="AG7" s="10">
        <v>1998</v>
      </c>
      <c r="AH7" s="10">
        <v>6</v>
      </c>
      <c r="AI7" s="10">
        <v>198.80440013743501</v>
      </c>
      <c r="AK7" s="10">
        <v>1998</v>
      </c>
      <c r="AL7" s="10">
        <v>6</v>
      </c>
      <c r="AM7" s="10">
        <v>198.812909096212</v>
      </c>
      <c r="AO7" s="10">
        <v>1998</v>
      </c>
      <c r="AP7" s="10">
        <v>6</v>
      </c>
      <c r="AQ7" s="10">
        <v>198.80143121467299</v>
      </c>
      <c r="AS7" s="10">
        <v>1998</v>
      </c>
      <c r="AT7" s="10">
        <v>6</v>
      </c>
      <c r="AU7" s="10">
        <v>198.79079861091</v>
      </c>
      <c r="AW7" s="10">
        <v>1998</v>
      </c>
      <c r="AX7" s="10">
        <v>6</v>
      </c>
      <c r="AY7" s="10">
        <v>198.78677188780301</v>
      </c>
    </row>
    <row r="8" spans="1:51" x14ac:dyDescent="0.25">
      <c r="A8" s="8">
        <v>1998</v>
      </c>
      <c r="B8" s="8">
        <v>7</v>
      </c>
      <c r="C8" s="10">
        <v>186.47451884530901</v>
      </c>
      <c r="E8" s="10">
        <v>1998</v>
      </c>
      <c r="F8" s="10">
        <v>7</v>
      </c>
      <c r="G8" s="10">
        <v>186.63574795179699</v>
      </c>
      <c r="I8" s="10">
        <v>1998</v>
      </c>
      <c r="J8" s="10">
        <v>7</v>
      </c>
      <c r="K8" s="10">
        <v>186.64195832941201</v>
      </c>
      <c r="M8" s="10">
        <v>1998</v>
      </c>
      <c r="N8" s="10">
        <v>7</v>
      </c>
      <c r="O8" s="10">
        <v>186.59514805723899</v>
      </c>
      <c r="Q8" s="10">
        <v>1998</v>
      </c>
      <c r="R8" s="10">
        <v>7</v>
      </c>
      <c r="S8" s="10">
        <v>186.53619011288799</v>
      </c>
      <c r="U8" s="10">
        <v>1998</v>
      </c>
      <c r="V8" s="10">
        <v>7</v>
      </c>
      <c r="W8" s="10">
        <v>186.45570319566201</v>
      </c>
      <c r="Y8" s="17">
        <v>2003</v>
      </c>
      <c r="Z8" s="17">
        <v>7</v>
      </c>
      <c r="AA8" s="17">
        <v>27819.382336791299</v>
      </c>
      <c r="AC8" s="10">
        <v>1998</v>
      </c>
      <c r="AD8" s="10">
        <v>7</v>
      </c>
      <c r="AE8" s="10">
        <v>186.463256886214</v>
      </c>
      <c r="AG8" s="10">
        <v>1998</v>
      </c>
      <c r="AH8" s="10">
        <v>7</v>
      </c>
      <c r="AI8" s="10">
        <v>186.431132827162</v>
      </c>
      <c r="AK8" s="10">
        <v>1998</v>
      </c>
      <c r="AL8" s="10">
        <v>7</v>
      </c>
      <c r="AM8" s="10">
        <v>186.469240244546</v>
      </c>
      <c r="AO8" s="10">
        <v>1998</v>
      </c>
      <c r="AP8" s="10">
        <v>7</v>
      </c>
      <c r="AQ8" s="10">
        <v>186.41421860986799</v>
      </c>
      <c r="AS8" s="10">
        <v>1998</v>
      </c>
      <c r="AT8" s="10">
        <v>7</v>
      </c>
      <c r="AU8" s="10">
        <v>186.494312257285</v>
      </c>
      <c r="AW8" s="10">
        <v>1998</v>
      </c>
      <c r="AX8" s="10">
        <v>7</v>
      </c>
      <c r="AY8" s="10">
        <v>186.49885036864299</v>
      </c>
    </row>
    <row r="9" spans="1:51" x14ac:dyDescent="0.25">
      <c r="A9" s="8">
        <v>1998</v>
      </c>
      <c r="B9" s="8">
        <v>8</v>
      </c>
      <c r="C9" s="10">
        <v>203.28728688573801</v>
      </c>
      <c r="E9" s="10">
        <v>1998</v>
      </c>
      <c r="F9" s="10">
        <v>8</v>
      </c>
      <c r="G9" s="10">
        <v>203.888710286422</v>
      </c>
      <c r="I9" s="10">
        <v>1998</v>
      </c>
      <c r="J9" s="10">
        <v>8</v>
      </c>
      <c r="K9" s="10">
        <v>203.880920550741</v>
      </c>
      <c r="M9" s="10">
        <v>1998</v>
      </c>
      <c r="N9" s="10">
        <v>8</v>
      </c>
      <c r="O9" s="10">
        <v>203.926717449731</v>
      </c>
      <c r="Q9" s="10">
        <v>1998</v>
      </c>
      <c r="R9" s="10">
        <v>8</v>
      </c>
      <c r="S9" s="10">
        <v>203.97049963172199</v>
      </c>
      <c r="U9" s="10">
        <v>1998</v>
      </c>
      <c r="V9" s="10">
        <v>8</v>
      </c>
      <c r="W9" s="10">
        <v>204.03251692577501</v>
      </c>
      <c r="Y9" s="17">
        <v>2003</v>
      </c>
      <c r="Z9" s="17">
        <v>8</v>
      </c>
      <c r="AA9" s="17">
        <v>27665.175667254302</v>
      </c>
      <c r="AC9" s="10">
        <v>1998</v>
      </c>
      <c r="AD9" s="10">
        <v>8</v>
      </c>
      <c r="AE9" s="10">
        <v>204.026157743108</v>
      </c>
      <c r="AG9" s="10">
        <v>1998</v>
      </c>
      <c r="AH9" s="10">
        <v>8</v>
      </c>
      <c r="AI9" s="10">
        <v>204.05905124725001</v>
      </c>
      <c r="AK9" s="10">
        <v>1998</v>
      </c>
      <c r="AL9" s="10">
        <v>8</v>
      </c>
      <c r="AM9" s="10">
        <v>204.02108639510601</v>
      </c>
      <c r="AO9" s="10">
        <v>1998</v>
      </c>
      <c r="AP9" s="10">
        <v>8</v>
      </c>
      <c r="AQ9" s="10">
        <v>204.078191217506</v>
      </c>
      <c r="AS9" s="10">
        <v>1998</v>
      </c>
      <c r="AT9" s="10">
        <v>8</v>
      </c>
      <c r="AU9" s="10">
        <v>204.019933980069</v>
      </c>
      <c r="AW9" s="10">
        <v>1998</v>
      </c>
      <c r="AX9" s="10">
        <v>8</v>
      </c>
      <c r="AY9" s="10">
        <v>204.019095116318</v>
      </c>
    </row>
    <row r="10" spans="1:51" x14ac:dyDescent="0.25">
      <c r="A10" s="8">
        <v>1998</v>
      </c>
      <c r="B10" s="8">
        <v>9</v>
      </c>
      <c r="C10" s="10">
        <v>202.62037996552499</v>
      </c>
      <c r="E10" s="10">
        <v>1998</v>
      </c>
      <c r="F10" s="10">
        <v>9</v>
      </c>
      <c r="G10" s="10">
        <v>201.98646013848401</v>
      </c>
      <c r="I10" s="10">
        <v>1998</v>
      </c>
      <c r="J10" s="10">
        <v>9</v>
      </c>
      <c r="K10" s="10">
        <v>201.99094044839401</v>
      </c>
      <c r="M10" s="10">
        <v>1998</v>
      </c>
      <c r="N10" s="10">
        <v>9</v>
      </c>
      <c r="O10" s="10">
        <v>201.96309260111099</v>
      </c>
      <c r="Q10" s="10">
        <v>1998</v>
      </c>
      <c r="R10" s="10">
        <v>9</v>
      </c>
      <c r="S10" s="10">
        <v>201.93458447420801</v>
      </c>
      <c r="U10" s="10">
        <v>1998</v>
      </c>
      <c r="V10" s="10">
        <v>9</v>
      </c>
      <c r="W10" s="10">
        <v>201.88387930787201</v>
      </c>
      <c r="Y10" s="17">
        <v>2003</v>
      </c>
      <c r="Z10" s="17">
        <v>9</v>
      </c>
      <c r="AA10" s="17">
        <v>27870.191812577301</v>
      </c>
      <c r="AC10" s="10">
        <v>1998</v>
      </c>
      <c r="AD10" s="10">
        <v>9</v>
      </c>
      <c r="AE10" s="10">
        <v>201.88776234790501</v>
      </c>
      <c r="AG10" s="10">
        <v>1998</v>
      </c>
      <c r="AH10" s="10">
        <v>9</v>
      </c>
      <c r="AI10" s="10">
        <v>201.867703646276</v>
      </c>
      <c r="AK10" s="10">
        <v>1998</v>
      </c>
      <c r="AL10" s="10">
        <v>9</v>
      </c>
      <c r="AM10" s="10">
        <v>201.89062246830599</v>
      </c>
      <c r="AO10" s="10">
        <v>1998</v>
      </c>
      <c r="AP10" s="10">
        <v>9</v>
      </c>
      <c r="AQ10" s="10">
        <v>201.85510140616699</v>
      </c>
      <c r="AS10" s="10">
        <v>1998</v>
      </c>
      <c r="AT10" s="10">
        <v>9</v>
      </c>
      <c r="AU10" s="10">
        <v>201.85851413322499</v>
      </c>
      <c r="AW10" s="10">
        <v>1998</v>
      </c>
      <c r="AX10" s="10">
        <v>9</v>
      </c>
      <c r="AY10" s="10">
        <v>201.853828519172</v>
      </c>
    </row>
    <row r="11" spans="1:51" x14ac:dyDescent="0.25">
      <c r="A11" s="8">
        <v>1998</v>
      </c>
      <c r="B11" s="8">
        <v>10</v>
      </c>
      <c r="C11" s="10">
        <v>207.854543783965</v>
      </c>
      <c r="E11" s="10">
        <v>1998</v>
      </c>
      <c r="F11" s="10">
        <v>10</v>
      </c>
      <c r="G11" s="10">
        <v>208.46304811551099</v>
      </c>
      <c r="I11" s="10">
        <v>1998</v>
      </c>
      <c r="J11" s="10">
        <v>10</v>
      </c>
      <c r="K11" s="10">
        <v>208.45599821423099</v>
      </c>
      <c r="M11" s="10">
        <v>1998</v>
      </c>
      <c r="N11" s="10">
        <v>10</v>
      </c>
      <c r="O11" s="10">
        <v>208.49099326386099</v>
      </c>
      <c r="Q11" s="10">
        <v>1998</v>
      </c>
      <c r="R11" s="10">
        <v>10</v>
      </c>
      <c r="S11" s="10">
        <v>208.51702184093</v>
      </c>
      <c r="U11" s="10">
        <v>1998</v>
      </c>
      <c r="V11" s="10">
        <v>10</v>
      </c>
      <c r="W11" s="10">
        <v>208.565888354956</v>
      </c>
      <c r="Y11" s="17">
        <v>2003</v>
      </c>
      <c r="Z11" s="17">
        <v>10</v>
      </c>
      <c r="AA11" s="17">
        <v>27258.3842979334</v>
      </c>
      <c r="AC11" s="10">
        <v>1998</v>
      </c>
      <c r="AD11" s="10">
        <v>10</v>
      </c>
      <c r="AE11" s="10">
        <v>208.56168329503001</v>
      </c>
      <c r="AG11" s="10">
        <v>1998</v>
      </c>
      <c r="AH11" s="10">
        <v>10</v>
      </c>
      <c r="AI11" s="10">
        <v>208.586361148294</v>
      </c>
      <c r="AK11" s="10">
        <v>1998</v>
      </c>
      <c r="AL11" s="10">
        <v>10</v>
      </c>
      <c r="AM11" s="10">
        <v>208.55834435339401</v>
      </c>
      <c r="AO11" s="10">
        <v>1998</v>
      </c>
      <c r="AP11" s="10">
        <v>10</v>
      </c>
      <c r="AQ11" s="10">
        <v>208.596917371909</v>
      </c>
      <c r="AS11" s="10">
        <v>1998</v>
      </c>
      <c r="AT11" s="10">
        <v>10</v>
      </c>
      <c r="AU11" s="10">
        <v>208.59993247240899</v>
      </c>
      <c r="AW11" s="10">
        <v>1998</v>
      </c>
      <c r="AX11" s="10">
        <v>10</v>
      </c>
      <c r="AY11" s="10">
        <v>208.60772246895399</v>
      </c>
    </row>
    <row r="12" spans="1:51" x14ac:dyDescent="0.25">
      <c r="A12" s="8">
        <v>1998</v>
      </c>
      <c r="B12" s="8">
        <v>11</v>
      </c>
      <c r="C12" s="10">
        <v>213.25436038415401</v>
      </c>
      <c r="E12" s="10">
        <v>1998</v>
      </c>
      <c r="F12" s="10">
        <v>11</v>
      </c>
      <c r="G12" s="10">
        <v>213.597208429576</v>
      </c>
      <c r="I12" s="10">
        <v>1998</v>
      </c>
      <c r="J12" s="10">
        <v>11</v>
      </c>
      <c r="K12" s="10">
        <v>213.592956744275</v>
      </c>
      <c r="M12" s="10">
        <v>1998</v>
      </c>
      <c r="N12" s="10">
        <v>11</v>
      </c>
      <c r="O12" s="10">
        <v>213.620163120868</v>
      </c>
      <c r="Q12" s="10">
        <v>1998</v>
      </c>
      <c r="R12" s="10">
        <v>11</v>
      </c>
      <c r="S12" s="10">
        <v>213.649763591799</v>
      </c>
      <c r="U12" s="10">
        <v>1998</v>
      </c>
      <c r="V12" s="10">
        <v>11</v>
      </c>
      <c r="W12" s="10">
        <v>213.688878522549</v>
      </c>
      <c r="Y12" s="17">
        <v>2003</v>
      </c>
      <c r="Z12" s="17">
        <v>11</v>
      </c>
      <c r="AA12" s="17">
        <v>26989.4204300278</v>
      </c>
      <c r="AC12" s="10">
        <v>1998</v>
      </c>
      <c r="AD12" s="10">
        <v>11</v>
      </c>
      <c r="AE12" s="10">
        <v>213.68473218995899</v>
      </c>
      <c r="AG12" s="10">
        <v>1998</v>
      </c>
      <c r="AH12" s="10">
        <v>11</v>
      </c>
      <c r="AI12" s="10">
        <v>213.70386024771099</v>
      </c>
      <c r="AK12" s="10">
        <v>1998</v>
      </c>
      <c r="AL12" s="10">
        <v>11</v>
      </c>
      <c r="AM12" s="10">
        <v>213.681400064288</v>
      </c>
      <c r="AO12" s="10">
        <v>1998</v>
      </c>
      <c r="AP12" s="10">
        <v>11</v>
      </c>
      <c r="AQ12" s="10">
        <v>213.71228948669099</v>
      </c>
      <c r="AS12" s="10">
        <v>1998</v>
      </c>
      <c r="AT12" s="10">
        <v>11</v>
      </c>
      <c r="AU12" s="10">
        <v>213.66516211817699</v>
      </c>
      <c r="AW12" s="10">
        <v>1998</v>
      </c>
      <c r="AX12" s="10">
        <v>11</v>
      </c>
      <c r="AY12" s="10">
        <v>213.66277085633499</v>
      </c>
    </row>
    <row r="13" spans="1:51" x14ac:dyDescent="0.25">
      <c r="A13" s="8">
        <v>1998</v>
      </c>
      <c r="B13" s="8">
        <v>12</v>
      </c>
      <c r="C13" s="10">
        <v>218.387967069762</v>
      </c>
      <c r="E13" s="10">
        <v>1998</v>
      </c>
      <c r="F13" s="10">
        <v>12</v>
      </c>
      <c r="G13" s="10">
        <v>217.59931140000899</v>
      </c>
      <c r="I13" s="10">
        <v>1998</v>
      </c>
      <c r="J13" s="10">
        <v>12</v>
      </c>
      <c r="K13" s="10">
        <v>217.60623116608201</v>
      </c>
      <c r="M13" s="10">
        <v>1998</v>
      </c>
      <c r="N13" s="10">
        <v>12</v>
      </c>
      <c r="O13" s="10">
        <v>217.565462989065</v>
      </c>
      <c r="Q13" s="10">
        <v>1998</v>
      </c>
      <c r="R13" s="10">
        <v>12</v>
      </c>
      <c r="S13" s="10">
        <v>217.52687474464901</v>
      </c>
      <c r="U13" s="10">
        <v>1998</v>
      </c>
      <c r="V13" s="10">
        <v>12</v>
      </c>
      <c r="W13" s="10">
        <v>217.45821943593799</v>
      </c>
      <c r="Y13" s="17">
        <v>2003</v>
      </c>
      <c r="Z13" s="17">
        <v>12</v>
      </c>
      <c r="AA13" s="17">
        <v>26986.836822790599</v>
      </c>
      <c r="AC13" s="10">
        <v>1998</v>
      </c>
      <c r="AD13" s="10">
        <v>12</v>
      </c>
      <c r="AE13" s="10">
        <v>217.46372261559901</v>
      </c>
      <c r="AG13" s="10">
        <v>1998</v>
      </c>
      <c r="AH13" s="10">
        <v>12</v>
      </c>
      <c r="AI13" s="10">
        <v>217.43408376705401</v>
      </c>
      <c r="AK13" s="10">
        <v>1998</v>
      </c>
      <c r="AL13" s="10">
        <v>12</v>
      </c>
      <c r="AM13" s="10">
        <v>217.46773702084101</v>
      </c>
      <c r="AO13" s="10">
        <v>1998</v>
      </c>
      <c r="AP13" s="10">
        <v>12</v>
      </c>
      <c r="AQ13" s="10">
        <v>217.41425668081101</v>
      </c>
      <c r="AS13" s="10">
        <v>1998</v>
      </c>
      <c r="AT13" s="10">
        <v>12</v>
      </c>
      <c r="AU13" s="10">
        <v>217.421224314097</v>
      </c>
      <c r="AW13" s="10">
        <v>1998</v>
      </c>
      <c r="AX13" s="10">
        <v>12</v>
      </c>
      <c r="AY13" s="10">
        <v>217.41467987855501</v>
      </c>
    </row>
    <row r="14" spans="1:51" x14ac:dyDescent="0.25">
      <c r="A14" s="8">
        <v>1999</v>
      </c>
      <c r="B14" s="8">
        <v>1</v>
      </c>
      <c r="C14" s="10">
        <v>217.61988715838899</v>
      </c>
      <c r="E14" s="10">
        <v>1999</v>
      </c>
      <c r="F14" s="10">
        <v>1</v>
      </c>
      <c r="G14" s="10">
        <v>217.966641980704</v>
      </c>
      <c r="I14" s="10">
        <v>1999</v>
      </c>
      <c r="J14" s="10">
        <v>1</v>
      </c>
      <c r="K14" s="10">
        <v>217.963529177515</v>
      </c>
      <c r="M14" s="10">
        <v>1999</v>
      </c>
      <c r="N14" s="10">
        <v>1</v>
      </c>
      <c r="O14" s="10">
        <v>217.985969325741</v>
      </c>
      <c r="Q14" s="10">
        <v>1999</v>
      </c>
      <c r="R14" s="10">
        <v>1</v>
      </c>
      <c r="S14" s="10">
        <v>218.01329456275701</v>
      </c>
      <c r="U14" s="10">
        <v>1999</v>
      </c>
      <c r="V14" s="10">
        <v>1</v>
      </c>
      <c r="W14" s="10">
        <v>218.05593295510201</v>
      </c>
      <c r="Y14" s="17">
        <v>2004</v>
      </c>
      <c r="Z14" s="17">
        <v>1</v>
      </c>
      <c r="AA14" s="17">
        <v>27158.617430637602</v>
      </c>
      <c r="AC14" s="10">
        <v>1999</v>
      </c>
      <c r="AD14" s="10">
        <v>1</v>
      </c>
      <c r="AE14" s="10">
        <v>218.052352840488</v>
      </c>
      <c r="AG14" s="10">
        <v>1999</v>
      </c>
      <c r="AH14" s="10">
        <v>1</v>
      </c>
      <c r="AI14" s="10">
        <v>218.068158470047</v>
      </c>
      <c r="AK14" s="10">
        <v>1999</v>
      </c>
      <c r="AL14" s="10">
        <v>1</v>
      </c>
      <c r="AM14" s="10">
        <v>218.049631932799</v>
      </c>
      <c r="AO14" s="10">
        <v>1999</v>
      </c>
      <c r="AP14" s="10">
        <v>1</v>
      </c>
      <c r="AQ14" s="10">
        <v>218.076600983888</v>
      </c>
      <c r="AS14" s="10">
        <v>1999</v>
      </c>
      <c r="AT14" s="10">
        <v>1</v>
      </c>
      <c r="AU14" s="10">
        <v>218.05477229211701</v>
      </c>
      <c r="AW14" s="10">
        <v>1999</v>
      </c>
      <c r="AX14" s="10">
        <v>1</v>
      </c>
      <c r="AY14" s="10">
        <v>218.055941137568</v>
      </c>
    </row>
    <row r="15" spans="1:51" x14ac:dyDescent="0.25">
      <c r="A15" s="8">
        <v>1999</v>
      </c>
      <c r="B15" s="8">
        <v>2</v>
      </c>
      <c r="C15" s="10">
        <v>222.10061370691801</v>
      </c>
      <c r="E15" s="10">
        <v>1999</v>
      </c>
      <c r="F15" s="10">
        <v>2</v>
      </c>
      <c r="G15" s="10">
        <v>221.95115293047999</v>
      </c>
      <c r="I15" s="10">
        <v>1999</v>
      </c>
      <c r="J15" s="10">
        <v>2</v>
      </c>
      <c r="K15" s="10">
        <v>221.948935504144</v>
      </c>
      <c r="M15" s="10">
        <v>1999</v>
      </c>
      <c r="N15" s="10">
        <v>2</v>
      </c>
      <c r="O15" s="10">
        <v>221.94573212322001</v>
      </c>
      <c r="Q15" s="10">
        <v>1999</v>
      </c>
      <c r="R15" s="10">
        <v>2</v>
      </c>
      <c r="S15" s="10">
        <v>221.92253655925199</v>
      </c>
      <c r="U15" s="10">
        <v>1999</v>
      </c>
      <c r="V15" s="10">
        <v>2</v>
      </c>
      <c r="W15" s="10">
        <v>221.981798977279</v>
      </c>
      <c r="Y15" s="17">
        <v>2004</v>
      </c>
      <c r="Z15" s="17">
        <v>2</v>
      </c>
      <c r="AA15" s="17">
        <v>27407.408077278898</v>
      </c>
      <c r="AC15" s="10">
        <v>1999</v>
      </c>
      <c r="AD15" s="10">
        <v>2</v>
      </c>
      <c r="AE15" s="10">
        <v>221.983746966013</v>
      </c>
      <c r="AG15" s="10">
        <v>1999</v>
      </c>
      <c r="AH15" s="10">
        <v>2</v>
      </c>
      <c r="AI15" s="10">
        <v>221.983240693005</v>
      </c>
      <c r="AK15" s="10">
        <v>1999</v>
      </c>
      <c r="AL15" s="10">
        <v>2</v>
      </c>
      <c r="AM15" s="10">
        <v>221.987533675229</v>
      </c>
      <c r="AO15" s="10">
        <v>1999</v>
      </c>
      <c r="AP15" s="10">
        <v>2</v>
      </c>
      <c r="AQ15" s="10">
        <v>221.981206336729</v>
      </c>
      <c r="AS15" s="10">
        <v>1999</v>
      </c>
      <c r="AT15" s="10">
        <v>2</v>
      </c>
      <c r="AU15" s="10">
        <v>222.284169073752</v>
      </c>
      <c r="AW15" s="10">
        <v>1999</v>
      </c>
      <c r="AX15" s="10">
        <v>2</v>
      </c>
      <c r="AY15" s="10">
        <v>222.332501739175</v>
      </c>
    </row>
    <row r="16" spans="1:51" x14ac:dyDescent="0.25">
      <c r="A16" s="8">
        <v>1999</v>
      </c>
      <c r="B16" s="8">
        <v>3</v>
      </c>
      <c r="C16" s="10">
        <v>223.799196204591</v>
      </c>
      <c r="E16" s="10">
        <v>1999</v>
      </c>
      <c r="F16" s="10">
        <v>3</v>
      </c>
      <c r="G16" s="10">
        <v>223.53497623995</v>
      </c>
      <c r="I16" s="10">
        <v>1999</v>
      </c>
      <c r="J16" s="10">
        <v>3</v>
      </c>
      <c r="K16" s="10">
        <v>223.54378880898301</v>
      </c>
      <c r="M16" s="10">
        <v>1999</v>
      </c>
      <c r="N16" s="10">
        <v>3</v>
      </c>
      <c r="O16" s="10">
        <v>223.517970788518</v>
      </c>
      <c r="Q16" s="10">
        <v>1999</v>
      </c>
      <c r="R16" s="10">
        <v>3</v>
      </c>
      <c r="S16" s="10">
        <v>223.52810302972</v>
      </c>
      <c r="U16" s="10">
        <v>1999</v>
      </c>
      <c r="V16" s="10">
        <v>3</v>
      </c>
      <c r="W16" s="10">
        <v>223.551867594258</v>
      </c>
      <c r="Y16" s="17">
        <v>2004</v>
      </c>
      <c r="Z16" s="17">
        <v>3</v>
      </c>
      <c r="AA16" s="17">
        <v>28125.372405808801</v>
      </c>
      <c r="AC16" s="10">
        <v>1999</v>
      </c>
      <c r="AD16" s="10">
        <v>3</v>
      </c>
      <c r="AE16" s="10">
        <v>223.55263485750001</v>
      </c>
      <c r="AG16" s="10">
        <v>1999</v>
      </c>
      <c r="AH16" s="10">
        <v>3</v>
      </c>
      <c r="AI16" s="10">
        <v>223.53282819589799</v>
      </c>
      <c r="AK16" s="10">
        <v>1999</v>
      </c>
      <c r="AL16" s="10">
        <v>3</v>
      </c>
      <c r="AM16" s="10">
        <v>223.554328376619</v>
      </c>
      <c r="AO16" s="10">
        <v>1999</v>
      </c>
      <c r="AP16" s="10">
        <v>3</v>
      </c>
      <c r="AQ16" s="10">
        <v>223.52484302120601</v>
      </c>
      <c r="AS16" s="10">
        <v>1999</v>
      </c>
      <c r="AT16" s="10">
        <v>3</v>
      </c>
      <c r="AU16" s="10">
        <v>223.55167775871899</v>
      </c>
      <c r="AW16" s="10">
        <v>1999</v>
      </c>
      <c r="AX16" s="10">
        <v>3</v>
      </c>
      <c r="AY16" s="10">
        <v>223.54983577349699</v>
      </c>
    </row>
    <row r="17" spans="1:51" x14ac:dyDescent="0.25">
      <c r="A17" s="8">
        <v>1999</v>
      </c>
      <c r="B17" s="8">
        <v>4</v>
      </c>
      <c r="C17" s="10">
        <v>221.023930768974</v>
      </c>
      <c r="E17" s="10">
        <v>1999</v>
      </c>
      <c r="F17" s="10">
        <v>4</v>
      </c>
      <c r="G17" s="10">
        <v>220.17582866248199</v>
      </c>
      <c r="I17" s="10">
        <v>1999</v>
      </c>
      <c r="J17" s="10">
        <v>4</v>
      </c>
      <c r="K17" s="10">
        <v>220.18043820784499</v>
      </c>
      <c r="M17" s="10">
        <v>1999</v>
      </c>
      <c r="N17" s="10">
        <v>4</v>
      </c>
      <c r="O17" s="10">
        <v>220.142041053394</v>
      </c>
      <c r="Q17" s="10">
        <v>1999</v>
      </c>
      <c r="R17" s="10">
        <v>4</v>
      </c>
      <c r="S17" s="10">
        <v>220.08850952520601</v>
      </c>
      <c r="U17" s="10">
        <v>1999</v>
      </c>
      <c r="V17" s="10">
        <v>4</v>
      </c>
      <c r="W17" s="10">
        <v>219.997498115978</v>
      </c>
      <c r="Y17" s="17">
        <v>2004</v>
      </c>
      <c r="Z17" s="17">
        <v>4</v>
      </c>
      <c r="AA17" s="17">
        <v>28629.151438413301</v>
      </c>
      <c r="AC17" s="10">
        <v>1999</v>
      </c>
      <c r="AD17" s="10">
        <v>4</v>
      </c>
      <c r="AE17" s="10">
        <v>220.00437495725001</v>
      </c>
      <c r="AG17" s="10">
        <v>1999</v>
      </c>
      <c r="AH17" s="10">
        <v>4</v>
      </c>
      <c r="AI17" s="10">
        <v>219.97768293944401</v>
      </c>
      <c r="AK17" s="10">
        <v>1999</v>
      </c>
      <c r="AL17" s="10">
        <v>4</v>
      </c>
      <c r="AM17" s="10">
        <v>220.009097512636</v>
      </c>
      <c r="AO17" s="10">
        <v>1999</v>
      </c>
      <c r="AP17" s="10">
        <v>4</v>
      </c>
      <c r="AQ17" s="10">
        <v>219.96521776073899</v>
      </c>
      <c r="AS17" s="10">
        <v>1999</v>
      </c>
      <c r="AT17" s="10">
        <v>4</v>
      </c>
      <c r="AU17" s="10">
        <v>219.98605693810899</v>
      </c>
      <c r="AW17" s="10">
        <v>1999</v>
      </c>
      <c r="AX17" s="10">
        <v>4</v>
      </c>
      <c r="AY17" s="10">
        <v>219.98179875207001</v>
      </c>
    </row>
    <row r="18" spans="1:51" x14ac:dyDescent="0.25">
      <c r="A18" s="8">
        <v>1999</v>
      </c>
      <c r="B18" s="8">
        <v>5</v>
      </c>
      <c r="C18" s="10">
        <v>235.83514595428599</v>
      </c>
      <c r="E18" s="10">
        <v>1999</v>
      </c>
      <c r="F18" s="10">
        <v>5</v>
      </c>
      <c r="G18" s="10">
        <v>236.59889783525901</v>
      </c>
      <c r="I18" s="10">
        <v>1999</v>
      </c>
      <c r="J18" s="10">
        <v>5</v>
      </c>
      <c r="K18" s="10">
        <v>236.58979032275101</v>
      </c>
      <c r="M18" s="10">
        <v>1999</v>
      </c>
      <c r="N18" s="10">
        <v>5</v>
      </c>
      <c r="O18" s="10">
        <v>236.64302863975001</v>
      </c>
      <c r="Q18" s="10">
        <v>1999</v>
      </c>
      <c r="R18" s="10">
        <v>5</v>
      </c>
      <c r="S18" s="10">
        <v>236.69236032074701</v>
      </c>
      <c r="U18" s="10">
        <v>1999</v>
      </c>
      <c r="V18" s="10">
        <v>5</v>
      </c>
      <c r="W18" s="10">
        <v>236.76157697540299</v>
      </c>
      <c r="Y18" s="17">
        <v>2004</v>
      </c>
      <c r="Z18" s="17">
        <v>5</v>
      </c>
      <c r="AA18" s="17">
        <v>28985.652209519099</v>
      </c>
      <c r="AC18" s="10">
        <v>1999</v>
      </c>
      <c r="AD18" s="10">
        <v>5</v>
      </c>
      <c r="AE18" s="10">
        <v>236.7545161905</v>
      </c>
      <c r="AG18" s="10">
        <v>1999</v>
      </c>
      <c r="AH18" s="10">
        <v>5</v>
      </c>
      <c r="AI18" s="10">
        <v>236.79311586673501</v>
      </c>
      <c r="AK18" s="10">
        <v>1999</v>
      </c>
      <c r="AL18" s="10">
        <v>5</v>
      </c>
      <c r="AM18" s="10">
        <v>236.74880959110899</v>
      </c>
      <c r="AO18" s="10">
        <v>1999</v>
      </c>
      <c r="AP18" s="10">
        <v>5</v>
      </c>
      <c r="AQ18" s="10">
        <v>236.81971344900501</v>
      </c>
      <c r="AS18" s="10">
        <v>1999</v>
      </c>
      <c r="AT18" s="10">
        <v>5</v>
      </c>
      <c r="AU18" s="10">
        <v>236.75322052595601</v>
      </c>
      <c r="AW18" s="10">
        <v>1999</v>
      </c>
      <c r="AX18" s="10">
        <v>5</v>
      </c>
      <c r="AY18" s="10">
        <v>236.751987799533</v>
      </c>
    </row>
    <row r="19" spans="1:51" x14ac:dyDescent="0.25">
      <c r="A19" s="8">
        <v>1999</v>
      </c>
      <c r="B19" s="8">
        <v>6</v>
      </c>
      <c r="C19" s="10">
        <v>220.05299016542699</v>
      </c>
      <c r="E19" s="10">
        <v>1999</v>
      </c>
      <c r="F19" s="10">
        <v>6</v>
      </c>
      <c r="G19" s="10">
        <v>219.678704458391</v>
      </c>
      <c r="I19" s="10">
        <v>1999</v>
      </c>
      <c r="J19" s="10">
        <v>6</v>
      </c>
      <c r="K19" s="10">
        <v>219.680441475799</v>
      </c>
      <c r="M19" s="10">
        <v>1999</v>
      </c>
      <c r="N19" s="10">
        <v>6</v>
      </c>
      <c r="O19" s="10">
        <v>219.66681078808699</v>
      </c>
      <c r="Q19" s="10">
        <v>1999</v>
      </c>
      <c r="R19" s="10">
        <v>6</v>
      </c>
      <c r="S19" s="10">
        <v>219.64852060010301</v>
      </c>
      <c r="U19" s="10">
        <v>1999</v>
      </c>
      <c r="V19" s="10">
        <v>6</v>
      </c>
      <c r="W19" s="10">
        <v>219.61303508764399</v>
      </c>
      <c r="Y19" s="17">
        <v>2004</v>
      </c>
      <c r="Z19" s="17">
        <v>6</v>
      </c>
      <c r="AA19" s="17">
        <v>29542.507860179601</v>
      </c>
      <c r="AC19" s="10">
        <v>1999</v>
      </c>
      <c r="AD19" s="10">
        <v>6</v>
      </c>
      <c r="AE19" s="10">
        <v>219.61536674481599</v>
      </c>
      <c r="AG19" s="10">
        <v>1999</v>
      </c>
      <c r="AH19" s="10">
        <v>6</v>
      </c>
      <c r="AI19" s="10">
        <v>219.605897493253</v>
      </c>
      <c r="AK19" s="10">
        <v>1999</v>
      </c>
      <c r="AL19" s="10">
        <v>6</v>
      </c>
      <c r="AM19" s="10">
        <v>219.61691590765801</v>
      </c>
      <c r="AO19" s="10">
        <v>1999</v>
      </c>
      <c r="AP19" s="10">
        <v>6</v>
      </c>
      <c r="AQ19" s="10">
        <v>219.60179980495701</v>
      </c>
      <c r="AS19" s="10">
        <v>1999</v>
      </c>
      <c r="AT19" s="10">
        <v>6</v>
      </c>
      <c r="AU19" s="10">
        <v>219.594129650008</v>
      </c>
      <c r="AW19" s="10">
        <v>1999</v>
      </c>
      <c r="AX19" s="10">
        <v>6</v>
      </c>
      <c r="AY19" s="10">
        <v>219.590052234219</v>
      </c>
    </row>
    <row r="20" spans="1:51" x14ac:dyDescent="0.25">
      <c r="A20" s="8">
        <v>1999</v>
      </c>
      <c r="B20" s="8">
        <v>7</v>
      </c>
      <c r="C20" s="10">
        <v>215.86979891369199</v>
      </c>
      <c r="E20" s="10">
        <v>1999</v>
      </c>
      <c r="F20" s="10">
        <v>7</v>
      </c>
      <c r="G20" s="10">
        <v>216.675523933905</v>
      </c>
      <c r="I20" s="10">
        <v>1999</v>
      </c>
      <c r="J20" s="10">
        <v>7</v>
      </c>
      <c r="K20" s="10">
        <v>216.67483790282699</v>
      </c>
      <c r="M20" s="10">
        <v>1999</v>
      </c>
      <c r="N20" s="10">
        <v>7</v>
      </c>
      <c r="O20" s="10">
        <v>216.67210448267701</v>
      </c>
      <c r="Q20" s="10">
        <v>1999</v>
      </c>
      <c r="R20" s="10">
        <v>7</v>
      </c>
      <c r="S20" s="10">
        <v>216.659896980947</v>
      </c>
      <c r="U20" s="10">
        <v>1999</v>
      </c>
      <c r="V20" s="10">
        <v>7</v>
      </c>
      <c r="W20" s="10">
        <v>216.650626219879</v>
      </c>
      <c r="Y20" s="17">
        <v>2004</v>
      </c>
      <c r="Z20" s="17">
        <v>7</v>
      </c>
      <c r="AA20" s="17">
        <v>30105.055709972999</v>
      </c>
      <c r="AC20" s="10">
        <v>1999</v>
      </c>
      <c r="AD20" s="10">
        <v>7</v>
      </c>
      <c r="AE20" s="10">
        <v>216.65173898129299</v>
      </c>
      <c r="AG20" s="10">
        <v>1999</v>
      </c>
      <c r="AH20" s="10">
        <v>7</v>
      </c>
      <c r="AI20" s="10">
        <v>216.65103546794899</v>
      </c>
      <c r="AK20" s="10">
        <v>1999</v>
      </c>
      <c r="AL20" s="10">
        <v>7</v>
      </c>
      <c r="AM20" s="10">
        <v>216.65281764690499</v>
      </c>
      <c r="AO20" s="10">
        <v>1999</v>
      </c>
      <c r="AP20" s="10">
        <v>7</v>
      </c>
      <c r="AQ20" s="10">
        <v>216.65286724136701</v>
      </c>
      <c r="AS20" s="10">
        <v>1999</v>
      </c>
      <c r="AT20" s="10">
        <v>7</v>
      </c>
      <c r="AU20" s="10">
        <v>216.688461357969</v>
      </c>
      <c r="AW20" s="10">
        <v>1999</v>
      </c>
      <c r="AX20" s="10">
        <v>7</v>
      </c>
      <c r="AY20" s="10">
        <v>216.69401682279999</v>
      </c>
    </row>
    <row r="21" spans="1:51" x14ac:dyDescent="0.25">
      <c r="A21" s="8">
        <v>1999</v>
      </c>
      <c r="B21" s="8">
        <v>8</v>
      </c>
      <c r="C21" s="10">
        <v>230.583209911442</v>
      </c>
      <c r="E21" s="10">
        <v>1999</v>
      </c>
      <c r="F21" s="10">
        <v>8</v>
      </c>
      <c r="G21" s="10">
        <v>230.557014389063</v>
      </c>
      <c r="I21" s="10">
        <v>1999</v>
      </c>
      <c r="J21" s="10">
        <v>8</v>
      </c>
      <c r="K21" s="10">
        <v>230.55513796057701</v>
      </c>
      <c r="M21" s="10">
        <v>1999</v>
      </c>
      <c r="N21" s="10">
        <v>8</v>
      </c>
      <c r="O21" s="10">
        <v>230.563122307269</v>
      </c>
      <c r="Q21" s="10">
        <v>1999</v>
      </c>
      <c r="R21" s="10">
        <v>8</v>
      </c>
      <c r="S21" s="10">
        <v>230.567163639612</v>
      </c>
      <c r="U21" s="10">
        <v>1999</v>
      </c>
      <c r="V21" s="10">
        <v>8</v>
      </c>
      <c r="W21" s="10">
        <v>230.569267246664</v>
      </c>
      <c r="Y21" s="17">
        <v>2004</v>
      </c>
      <c r="Z21" s="17">
        <v>8</v>
      </c>
      <c r="AA21" s="17">
        <v>30564.465467434198</v>
      </c>
      <c r="AC21" s="10">
        <v>1999</v>
      </c>
      <c r="AD21" s="10">
        <v>8</v>
      </c>
      <c r="AE21" s="10">
        <v>230.56825849953501</v>
      </c>
      <c r="AG21" s="10">
        <v>1999</v>
      </c>
      <c r="AH21" s="10">
        <v>8</v>
      </c>
      <c r="AI21" s="10">
        <v>230.57420294953701</v>
      </c>
      <c r="AK21" s="10">
        <v>1999</v>
      </c>
      <c r="AL21" s="10">
        <v>8</v>
      </c>
      <c r="AM21" s="10">
        <v>230.567373950758</v>
      </c>
      <c r="AO21" s="10">
        <v>1999</v>
      </c>
      <c r="AP21" s="10">
        <v>8</v>
      </c>
      <c r="AQ21" s="10">
        <v>230.57693792311599</v>
      </c>
      <c r="AS21" s="10">
        <v>1999</v>
      </c>
      <c r="AT21" s="10">
        <v>8</v>
      </c>
      <c r="AU21" s="10">
        <v>230.556595582856</v>
      </c>
      <c r="AW21" s="10">
        <v>1999</v>
      </c>
      <c r="AX21" s="10">
        <v>8</v>
      </c>
      <c r="AY21" s="10">
        <v>230.55517566840399</v>
      </c>
    </row>
    <row r="22" spans="1:51" x14ac:dyDescent="0.25">
      <c r="A22" s="8">
        <v>1999</v>
      </c>
      <c r="B22" s="8">
        <v>9</v>
      </c>
      <c r="C22" s="10">
        <v>229.132194159797</v>
      </c>
      <c r="E22" s="10">
        <v>1999</v>
      </c>
      <c r="F22" s="10">
        <v>9</v>
      </c>
      <c r="G22" s="10">
        <v>228.43914040983501</v>
      </c>
      <c r="I22" s="10">
        <v>1999</v>
      </c>
      <c r="J22" s="10">
        <v>9</v>
      </c>
      <c r="K22" s="10">
        <v>228.44443460097801</v>
      </c>
      <c r="M22" s="10">
        <v>1999</v>
      </c>
      <c r="N22" s="10">
        <v>9</v>
      </c>
      <c r="O22" s="10">
        <v>228.411957096273</v>
      </c>
      <c r="Q22" s="10">
        <v>1999</v>
      </c>
      <c r="R22" s="10">
        <v>9</v>
      </c>
      <c r="S22" s="10">
        <v>228.379284695455</v>
      </c>
      <c r="U22" s="10">
        <v>1999</v>
      </c>
      <c r="V22" s="10">
        <v>9</v>
      </c>
      <c r="W22" s="10">
        <v>228.32190901912</v>
      </c>
      <c r="Y22" s="17">
        <v>2004</v>
      </c>
      <c r="Z22" s="17">
        <v>9</v>
      </c>
      <c r="AA22" s="17">
        <v>31104.583605325999</v>
      </c>
      <c r="AC22" s="10">
        <v>1999</v>
      </c>
      <c r="AD22" s="10">
        <v>9</v>
      </c>
      <c r="AE22" s="10">
        <v>228.32641181391401</v>
      </c>
      <c r="AG22" s="10">
        <v>1999</v>
      </c>
      <c r="AH22" s="10">
        <v>9</v>
      </c>
      <c r="AI22" s="10">
        <v>228.30294574771401</v>
      </c>
      <c r="AK22" s="10">
        <v>1999</v>
      </c>
      <c r="AL22" s="10">
        <v>9</v>
      </c>
      <c r="AM22" s="10">
        <v>228.329737279856</v>
      </c>
      <c r="AO22" s="10">
        <v>1999</v>
      </c>
      <c r="AP22" s="10">
        <v>9</v>
      </c>
      <c r="AQ22" s="10">
        <v>228.287697104431</v>
      </c>
      <c r="AS22" s="10">
        <v>1999</v>
      </c>
      <c r="AT22" s="10">
        <v>9</v>
      </c>
      <c r="AU22" s="10">
        <v>228.29447843558199</v>
      </c>
      <c r="AW22" s="10">
        <v>1999</v>
      </c>
      <c r="AX22" s="10">
        <v>9</v>
      </c>
      <c r="AY22" s="10">
        <v>228.28944156851099</v>
      </c>
    </row>
    <row r="23" spans="1:51" x14ac:dyDescent="0.25">
      <c r="A23" s="8">
        <v>1999</v>
      </c>
      <c r="B23" s="8">
        <v>10</v>
      </c>
      <c r="C23" s="10">
        <v>234.09139925367199</v>
      </c>
      <c r="E23" s="10">
        <v>1999</v>
      </c>
      <c r="F23" s="10">
        <v>10</v>
      </c>
      <c r="G23" s="10">
        <v>235.42734915034501</v>
      </c>
      <c r="I23" s="10">
        <v>1999</v>
      </c>
      <c r="J23" s="10">
        <v>10</v>
      </c>
      <c r="K23" s="10">
        <v>235.41329197915499</v>
      </c>
      <c r="M23" s="10">
        <v>1999</v>
      </c>
      <c r="N23" s="10">
        <v>10</v>
      </c>
      <c r="O23" s="10">
        <v>235.49161870569199</v>
      </c>
      <c r="Q23" s="10">
        <v>1999</v>
      </c>
      <c r="R23" s="10">
        <v>10</v>
      </c>
      <c r="S23" s="10">
        <v>235.56212232669901</v>
      </c>
      <c r="U23" s="10">
        <v>1999</v>
      </c>
      <c r="V23" s="10">
        <v>10</v>
      </c>
      <c r="W23" s="10">
        <v>235.679134317782</v>
      </c>
      <c r="Y23" s="17">
        <v>2004</v>
      </c>
      <c r="Z23" s="17">
        <v>10</v>
      </c>
      <c r="AA23" s="17">
        <v>31654.850909864999</v>
      </c>
      <c r="AC23" s="10">
        <v>1999</v>
      </c>
      <c r="AD23" s="10">
        <v>10</v>
      </c>
      <c r="AE23" s="10">
        <v>235.66872062143901</v>
      </c>
      <c r="AG23" s="10">
        <v>1999</v>
      </c>
      <c r="AH23" s="10">
        <v>10</v>
      </c>
      <c r="AI23" s="10">
        <v>235.72439988620599</v>
      </c>
      <c r="AK23" s="10">
        <v>1999</v>
      </c>
      <c r="AL23" s="10">
        <v>10</v>
      </c>
      <c r="AM23" s="10">
        <v>235.66054671931201</v>
      </c>
      <c r="AO23" s="10">
        <v>1999</v>
      </c>
      <c r="AP23" s="10">
        <v>10</v>
      </c>
      <c r="AQ23" s="10">
        <v>235.75202914524701</v>
      </c>
      <c r="AS23" s="10">
        <v>1999</v>
      </c>
      <c r="AT23" s="10">
        <v>10</v>
      </c>
      <c r="AU23" s="10">
        <v>235.71397276371201</v>
      </c>
      <c r="AW23" s="10">
        <v>1999</v>
      </c>
      <c r="AX23" s="10">
        <v>10</v>
      </c>
      <c r="AY23" s="10">
        <v>235.72321389699999</v>
      </c>
    </row>
    <row r="24" spans="1:51" x14ac:dyDescent="0.25">
      <c r="A24" s="8">
        <v>1999</v>
      </c>
      <c r="B24" s="8">
        <v>11</v>
      </c>
      <c r="C24" s="10">
        <v>237.256788850894</v>
      </c>
      <c r="E24" s="10">
        <v>1999</v>
      </c>
      <c r="F24" s="10">
        <v>11</v>
      </c>
      <c r="G24" s="10">
        <v>236.87722154413899</v>
      </c>
      <c r="I24" s="10">
        <v>1999</v>
      </c>
      <c r="J24" s="10">
        <v>11</v>
      </c>
      <c r="K24" s="10">
        <v>236.879925175361</v>
      </c>
      <c r="M24" s="10">
        <v>1999</v>
      </c>
      <c r="N24" s="10">
        <v>11</v>
      </c>
      <c r="O24" s="10">
        <v>236.86420032543299</v>
      </c>
      <c r="Q24" s="10">
        <v>1999</v>
      </c>
      <c r="R24" s="10">
        <v>11</v>
      </c>
      <c r="S24" s="10">
        <v>236.850436419701</v>
      </c>
      <c r="U24" s="10">
        <v>1999</v>
      </c>
      <c r="V24" s="10">
        <v>11</v>
      </c>
      <c r="W24" s="10">
        <v>236.822608843908</v>
      </c>
      <c r="Y24" s="17">
        <v>2004</v>
      </c>
      <c r="Z24" s="17">
        <v>11</v>
      </c>
      <c r="AA24" s="17">
        <v>32118.986777691302</v>
      </c>
      <c r="AC24" s="10">
        <v>1999</v>
      </c>
      <c r="AD24" s="10">
        <v>11</v>
      </c>
      <c r="AE24" s="10">
        <v>236.82457525583499</v>
      </c>
      <c r="AG24" s="10">
        <v>1999</v>
      </c>
      <c r="AH24" s="10">
        <v>11</v>
      </c>
      <c r="AI24" s="10">
        <v>236.81275636539399</v>
      </c>
      <c r="AK24" s="10">
        <v>1999</v>
      </c>
      <c r="AL24" s="10">
        <v>11</v>
      </c>
      <c r="AM24" s="10">
        <v>236.825847560391</v>
      </c>
      <c r="AO24" s="10">
        <v>1999</v>
      </c>
      <c r="AP24" s="10">
        <v>11</v>
      </c>
      <c r="AQ24" s="10">
        <v>236.80113672714501</v>
      </c>
      <c r="AS24" s="10">
        <v>1999</v>
      </c>
      <c r="AT24" s="10">
        <v>11</v>
      </c>
      <c r="AU24" s="10">
        <v>236.793959725295</v>
      </c>
      <c r="AW24" s="10">
        <v>1999</v>
      </c>
      <c r="AX24" s="10">
        <v>11</v>
      </c>
      <c r="AY24" s="10">
        <v>236.78991474472201</v>
      </c>
    </row>
    <row r="25" spans="1:51" x14ac:dyDescent="0.25">
      <c r="A25" s="8">
        <v>1999</v>
      </c>
      <c r="B25" s="8">
        <v>12</v>
      </c>
      <c r="C25" s="10">
        <v>230.23623950443101</v>
      </c>
      <c r="E25" s="10">
        <v>1999</v>
      </c>
      <c r="F25" s="10">
        <v>12</v>
      </c>
      <c r="G25" s="10">
        <v>229.42391491741699</v>
      </c>
      <c r="I25" s="10">
        <v>1999</v>
      </c>
      <c r="J25" s="10">
        <v>12</v>
      </c>
      <c r="K25" s="10">
        <v>229.43095632125301</v>
      </c>
      <c r="M25" s="10">
        <v>1999</v>
      </c>
      <c r="N25" s="10">
        <v>12</v>
      </c>
      <c r="O25" s="10">
        <v>229.388672743858</v>
      </c>
      <c r="Q25" s="10">
        <v>1999</v>
      </c>
      <c r="R25" s="10">
        <v>12</v>
      </c>
      <c r="S25" s="10">
        <v>229.34807465101801</v>
      </c>
      <c r="U25" s="10">
        <v>1999</v>
      </c>
      <c r="V25" s="10">
        <v>12</v>
      </c>
      <c r="W25" s="10">
        <v>229.27836598992999</v>
      </c>
      <c r="Y25" s="17">
        <v>2004</v>
      </c>
      <c r="Z25" s="17">
        <v>12</v>
      </c>
      <c r="AA25" s="17">
        <v>32435.262056347601</v>
      </c>
      <c r="AC25" s="10">
        <v>1999</v>
      </c>
      <c r="AD25" s="10">
        <v>12</v>
      </c>
      <c r="AE25" s="10">
        <v>229.284166698859</v>
      </c>
      <c r="AG25" s="10">
        <v>1999</v>
      </c>
      <c r="AH25" s="10">
        <v>12</v>
      </c>
      <c r="AI25" s="10">
        <v>229.25329396047701</v>
      </c>
      <c r="AK25" s="10">
        <v>1999</v>
      </c>
      <c r="AL25" s="10">
        <v>12</v>
      </c>
      <c r="AM25" s="10">
        <v>229.28831266036499</v>
      </c>
      <c r="AO25" s="10">
        <v>1999</v>
      </c>
      <c r="AP25" s="10">
        <v>12</v>
      </c>
      <c r="AQ25" s="10">
        <v>229.23079710492399</v>
      </c>
      <c r="AS25" s="10">
        <v>1999</v>
      </c>
      <c r="AT25" s="10">
        <v>12</v>
      </c>
      <c r="AU25" s="10">
        <v>229.24723078070701</v>
      </c>
      <c r="AW25" s="10">
        <v>1999</v>
      </c>
      <c r="AX25" s="10">
        <v>12</v>
      </c>
      <c r="AY25" s="10">
        <v>229.24187056153801</v>
      </c>
    </row>
    <row r="26" spans="1:51" x14ac:dyDescent="0.25">
      <c r="A26" s="8">
        <v>2000</v>
      </c>
      <c r="B26" s="8">
        <v>1</v>
      </c>
      <c r="C26" s="10">
        <v>236.24897092935601</v>
      </c>
      <c r="E26" s="10">
        <v>2000</v>
      </c>
      <c r="F26" s="10">
        <v>1</v>
      </c>
      <c r="G26" s="10">
        <v>236.75721498127999</v>
      </c>
      <c r="I26" s="10">
        <v>2000</v>
      </c>
      <c r="J26" s="10">
        <v>1</v>
      </c>
      <c r="K26" s="10">
        <v>236.75258260692701</v>
      </c>
      <c r="M26" s="10">
        <v>2000</v>
      </c>
      <c r="N26" s="10">
        <v>1</v>
      </c>
      <c r="O26" s="10">
        <v>236.78437315638101</v>
      </c>
      <c r="Q26" s="10">
        <v>2000</v>
      </c>
      <c r="R26" s="10">
        <v>1</v>
      </c>
      <c r="S26" s="10">
        <v>236.82168339629399</v>
      </c>
      <c r="U26" s="10">
        <v>2000</v>
      </c>
      <c r="V26" s="10">
        <v>1</v>
      </c>
      <c r="W26" s="10">
        <v>236.87721310233499</v>
      </c>
      <c r="Y26" s="17">
        <v>2005</v>
      </c>
      <c r="Z26" s="17">
        <v>1</v>
      </c>
      <c r="AA26" s="17">
        <v>32751.649964874301</v>
      </c>
      <c r="AC26" s="10">
        <v>2000</v>
      </c>
      <c r="AD26" s="10">
        <v>1</v>
      </c>
      <c r="AE26" s="10">
        <v>236.87230253438599</v>
      </c>
      <c r="AG26" s="10">
        <v>2000</v>
      </c>
      <c r="AH26" s="10">
        <v>1</v>
      </c>
      <c r="AI26" s="10">
        <v>236.89453104695599</v>
      </c>
      <c r="AK26" s="10">
        <v>2000</v>
      </c>
      <c r="AL26" s="10">
        <v>1</v>
      </c>
      <c r="AM26" s="10">
        <v>236.868344511825</v>
      </c>
      <c r="AO26" s="10">
        <v>2000</v>
      </c>
      <c r="AP26" s="10">
        <v>1</v>
      </c>
      <c r="AQ26" s="10">
        <v>236.90458632572501</v>
      </c>
      <c r="AS26" s="10">
        <v>2000</v>
      </c>
      <c r="AT26" s="10">
        <v>1</v>
      </c>
      <c r="AU26" s="10">
        <v>236.867919786627</v>
      </c>
      <c r="AW26" s="10">
        <v>2000</v>
      </c>
      <c r="AX26" s="10">
        <v>1</v>
      </c>
      <c r="AY26" s="10">
        <v>236.868783255739</v>
      </c>
    </row>
    <row r="27" spans="1:51" x14ac:dyDescent="0.25">
      <c r="A27" s="8">
        <v>2000</v>
      </c>
      <c r="B27" s="8">
        <v>2</v>
      </c>
      <c r="C27" s="10">
        <v>229.468857319656</v>
      </c>
      <c r="E27" s="10">
        <v>2000</v>
      </c>
      <c r="F27" s="10">
        <v>2</v>
      </c>
      <c r="G27" s="10">
        <v>229.23568482966701</v>
      </c>
      <c r="I27" s="10">
        <v>2000</v>
      </c>
      <c r="J27" s="10">
        <v>2</v>
      </c>
      <c r="K27" s="10">
        <v>229.24767036891299</v>
      </c>
      <c r="M27" s="10">
        <v>2000</v>
      </c>
      <c r="N27" s="10">
        <v>2</v>
      </c>
      <c r="O27" s="10">
        <v>229.22413265217901</v>
      </c>
      <c r="Q27" s="10">
        <v>2000</v>
      </c>
      <c r="R27" s="10">
        <v>2</v>
      </c>
      <c r="S27" s="10">
        <v>229.26147523041399</v>
      </c>
      <c r="U27" s="10">
        <v>2000</v>
      </c>
      <c r="V27" s="10">
        <v>2</v>
      </c>
      <c r="W27" s="10">
        <v>229.12143222771201</v>
      </c>
      <c r="Y27" s="17">
        <v>2005</v>
      </c>
      <c r="Z27" s="17">
        <v>2</v>
      </c>
      <c r="AA27" s="17">
        <v>33186.178038042701</v>
      </c>
      <c r="AC27" s="10">
        <v>2000</v>
      </c>
      <c r="AD27" s="10">
        <v>2</v>
      </c>
      <c r="AE27" s="10">
        <v>229.120273287461</v>
      </c>
      <c r="AG27" s="10">
        <v>2000</v>
      </c>
      <c r="AH27" s="10">
        <v>2</v>
      </c>
      <c r="AI27" s="10">
        <v>229.098105491345</v>
      </c>
      <c r="AK27" s="10">
        <v>2000</v>
      </c>
      <c r="AL27" s="10">
        <v>2</v>
      </c>
      <c r="AM27" s="10">
        <v>229.11479124523001</v>
      </c>
      <c r="AO27" s="10">
        <v>2000</v>
      </c>
      <c r="AP27" s="10">
        <v>2</v>
      </c>
      <c r="AQ27" s="10">
        <v>229.08575515980601</v>
      </c>
      <c r="AS27" s="10">
        <v>2000</v>
      </c>
      <c r="AT27" s="10">
        <v>2</v>
      </c>
      <c r="AU27" s="10">
        <v>228.47726201569799</v>
      </c>
      <c r="AW27" s="10">
        <v>2000</v>
      </c>
      <c r="AX27" s="10">
        <v>2</v>
      </c>
      <c r="AY27" s="10">
        <v>228.377408570808</v>
      </c>
    </row>
    <row r="28" spans="1:51" x14ac:dyDescent="0.25">
      <c r="A28" s="8">
        <v>2000</v>
      </c>
      <c r="B28" s="8">
        <v>3</v>
      </c>
      <c r="C28" s="10">
        <v>233.41108403496801</v>
      </c>
      <c r="E28" s="10">
        <v>2000</v>
      </c>
      <c r="F28" s="10">
        <v>3</v>
      </c>
      <c r="G28" s="10">
        <v>233.21712490333601</v>
      </c>
      <c r="I28" s="10">
        <v>2000</v>
      </c>
      <c r="J28" s="10">
        <v>3</v>
      </c>
      <c r="K28" s="10">
        <v>233.22883578687799</v>
      </c>
      <c r="M28" s="10">
        <v>2000</v>
      </c>
      <c r="N28" s="10">
        <v>3</v>
      </c>
      <c r="O28" s="10">
        <v>233.199149327627</v>
      </c>
      <c r="Q28" s="10">
        <v>2000</v>
      </c>
      <c r="R28" s="10">
        <v>3</v>
      </c>
      <c r="S28" s="10">
        <v>233.22390081238501</v>
      </c>
      <c r="U28" s="10">
        <v>2000</v>
      </c>
      <c r="V28" s="10">
        <v>3</v>
      </c>
      <c r="W28" s="10">
        <v>233.27657980671901</v>
      </c>
      <c r="Y28" s="17">
        <v>2005</v>
      </c>
      <c r="Z28" s="17">
        <v>3</v>
      </c>
      <c r="AA28" s="17">
        <v>33424.158703847999</v>
      </c>
      <c r="AC28" s="10">
        <v>2000</v>
      </c>
      <c r="AD28" s="10">
        <v>3</v>
      </c>
      <c r="AE28" s="10">
        <v>233.27621698643699</v>
      </c>
      <c r="AG28" s="10">
        <v>2000</v>
      </c>
      <c r="AH28" s="10">
        <v>3</v>
      </c>
      <c r="AI28" s="10">
        <v>233.25281400127801</v>
      </c>
      <c r="AK28" s="10">
        <v>2000</v>
      </c>
      <c r="AL28" s="10">
        <v>3</v>
      </c>
      <c r="AM28" s="10">
        <v>233.27783868125599</v>
      </c>
      <c r="AO28" s="10">
        <v>2000</v>
      </c>
      <c r="AP28" s="10">
        <v>3</v>
      </c>
      <c r="AQ28" s="10">
        <v>233.24332461348101</v>
      </c>
      <c r="AS28" s="10">
        <v>2000</v>
      </c>
      <c r="AT28" s="10">
        <v>3</v>
      </c>
      <c r="AU28" s="10">
        <v>233.27877527158401</v>
      </c>
      <c r="AW28" s="10">
        <v>2000</v>
      </c>
      <c r="AX28" s="10">
        <v>3</v>
      </c>
      <c r="AY28" s="10">
        <v>233.27741711865099</v>
      </c>
    </row>
    <row r="29" spans="1:51" x14ac:dyDescent="0.25">
      <c r="A29" s="8">
        <v>2000</v>
      </c>
      <c r="B29" s="8">
        <v>4</v>
      </c>
      <c r="C29" s="10">
        <v>225.74043063769301</v>
      </c>
      <c r="E29" s="10">
        <v>2000</v>
      </c>
      <c r="F29" s="10">
        <v>4</v>
      </c>
      <c r="G29" s="10">
        <v>226.03969619432601</v>
      </c>
      <c r="I29" s="10">
        <v>2000</v>
      </c>
      <c r="J29" s="10">
        <v>4</v>
      </c>
      <c r="K29" s="10">
        <v>226.02926912786401</v>
      </c>
      <c r="M29" s="10">
        <v>2000</v>
      </c>
      <c r="N29" s="10">
        <v>4</v>
      </c>
      <c r="O29" s="10">
        <v>226.06156786355001</v>
      </c>
      <c r="Q29" s="10">
        <v>2000</v>
      </c>
      <c r="R29" s="10">
        <v>4</v>
      </c>
      <c r="S29" s="10">
        <v>226.048336249747</v>
      </c>
      <c r="U29" s="10">
        <v>2000</v>
      </c>
      <c r="V29" s="10">
        <v>4</v>
      </c>
      <c r="W29" s="10">
        <v>226.01709642840399</v>
      </c>
      <c r="Y29" s="17">
        <v>2005</v>
      </c>
      <c r="Z29" s="17">
        <v>4</v>
      </c>
      <c r="AA29" s="17">
        <v>34171.624162289998</v>
      </c>
      <c r="AC29" s="10">
        <v>2000</v>
      </c>
      <c r="AD29" s="10">
        <v>4</v>
      </c>
      <c r="AE29" s="10">
        <v>226.017004269284</v>
      </c>
      <c r="AG29" s="10">
        <v>2000</v>
      </c>
      <c r="AH29" s="10">
        <v>4</v>
      </c>
      <c r="AI29" s="10">
        <v>226.04365308195</v>
      </c>
      <c r="AK29" s="10">
        <v>2000</v>
      </c>
      <c r="AL29" s="10">
        <v>4</v>
      </c>
      <c r="AM29" s="10">
        <v>226.01537038910601</v>
      </c>
      <c r="AO29" s="10">
        <v>2000</v>
      </c>
      <c r="AP29" s="10">
        <v>4</v>
      </c>
      <c r="AQ29" s="10">
        <v>226.07455526025601</v>
      </c>
      <c r="AS29" s="10">
        <v>2000</v>
      </c>
      <c r="AT29" s="10">
        <v>4</v>
      </c>
      <c r="AU29" s="10">
        <v>226.045851717169</v>
      </c>
      <c r="AW29" s="10">
        <v>2000</v>
      </c>
      <c r="AX29" s="10">
        <v>4</v>
      </c>
      <c r="AY29" s="10">
        <v>226.04575773154701</v>
      </c>
    </row>
    <row r="30" spans="1:51" x14ac:dyDescent="0.25">
      <c r="A30" s="8">
        <v>2000</v>
      </c>
      <c r="B30" s="8">
        <v>5</v>
      </c>
      <c r="C30" s="10">
        <v>228.190996418238</v>
      </c>
      <c r="E30" s="10">
        <v>2000</v>
      </c>
      <c r="F30" s="10">
        <v>5</v>
      </c>
      <c r="G30" s="10">
        <v>227.646364300915</v>
      </c>
      <c r="I30" s="10">
        <v>2000</v>
      </c>
      <c r="J30" s="10">
        <v>5</v>
      </c>
      <c r="K30" s="10">
        <v>227.65055897412799</v>
      </c>
      <c r="M30" s="10">
        <v>2000</v>
      </c>
      <c r="N30" s="10">
        <v>5</v>
      </c>
      <c r="O30" s="10">
        <v>227.62602452487201</v>
      </c>
      <c r="Q30" s="10">
        <v>2000</v>
      </c>
      <c r="R30" s="10">
        <v>5</v>
      </c>
      <c r="S30" s="10">
        <v>227.60131146605599</v>
      </c>
      <c r="U30" s="10">
        <v>2000</v>
      </c>
      <c r="V30" s="10">
        <v>5</v>
      </c>
      <c r="W30" s="10">
        <v>227.55676448341001</v>
      </c>
      <c r="Y30" s="17">
        <v>2005</v>
      </c>
      <c r="Z30" s="17">
        <v>5</v>
      </c>
      <c r="AA30" s="17">
        <v>34939.167695168697</v>
      </c>
      <c r="AC30" s="10">
        <v>2000</v>
      </c>
      <c r="AD30" s="10">
        <v>5</v>
      </c>
      <c r="AE30" s="10">
        <v>227.56019108980399</v>
      </c>
      <c r="AG30" s="10">
        <v>2000</v>
      </c>
      <c r="AH30" s="10">
        <v>5</v>
      </c>
      <c r="AI30" s="10">
        <v>227.542861837781</v>
      </c>
      <c r="AK30" s="10">
        <v>2000</v>
      </c>
      <c r="AL30" s="10">
        <v>5</v>
      </c>
      <c r="AM30" s="10">
        <v>227.563041207281</v>
      </c>
      <c r="AO30" s="10">
        <v>2000</v>
      </c>
      <c r="AP30" s="10">
        <v>5</v>
      </c>
      <c r="AQ30" s="10">
        <v>227.537482366885</v>
      </c>
      <c r="AS30" s="10">
        <v>2000</v>
      </c>
      <c r="AT30" s="10">
        <v>5</v>
      </c>
      <c r="AU30" s="10">
        <v>227.53725178756901</v>
      </c>
      <c r="AW30" s="10">
        <v>2000</v>
      </c>
      <c r="AX30" s="10">
        <v>5</v>
      </c>
      <c r="AY30" s="10">
        <v>227.532353698138</v>
      </c>
    </row>
    <row r="31" spans="1:51" x14ac:dyDescent="0.25">
      <c r="A31" s="8">
        <v>2000</v>
      </c>
      <c r="B31" s="8">
        <v>6</v>
      </c>
      <c r="C31" s="10">
        <v>227.06103552989899</v>
      </c>
      <c r="E31" s="10">
        <v>2000</v>
      </c>
      <c r="F31" s="10">
        <v>6</v>
      </c>
      <c r="G31" s="10">
        <v>226.61739760770701</v>
      </c>
      <c r="I31" s="10">
        <v>2000</v>
      </c>
      <c r="J31" s="10">
        <v>6</v>
      </c>
      <c r="K31" s="10">
        <v>226.620175075726</v>
      </c>
      <c r="M31" s="10">
        <v>2000</v>
      </c>
      <c r="N31" s="10">
        <v>6</v>
      </c>
      <c r="O31" s="10">
        <v>226.60219255468601</v>
      </c>
      <c r="Q31" s="10">
        <v>2000</v>
      </c>
      <c r="R31" s="10">
        <v>6</v>
      </c>
      <c r="S31" s="10">
        <v>226.58209778972201</v>
      </c>
      <c r="U31" s="10">
        <v>2000</v>
      </c>
      <c r="V31" s="10">
        <v>6</v>
      </c>
      <c r="W31" s="10">
        <v>226.54540626081501</v>
      </c>
      <c r="Y31" s="17">
        <v>2005</v>
      </c>
      <c r="Z31" s="17">
        <v>6</v>
      </c>
      <c r="AA31" s="17">
        <v>35102.978085618903</v>
      </c>
      <c r="AC31" s="10">
        <v>2000</v>
      </c>
      <c r="AD31" s="10">
        <v>6</v>
      </c>
      <c r="AE31" s="10">
        <v>226.547963390121</v>
      </c>
      <c r="AG31" s="10">
        <v>2000</v>
      </c>
      <c r="AH31" s="10">
        <v>6</v>
      </c>
      <c r="AI31" s="10">
        <v>226.53527492094099</v>
      </c>
      <c r="AK31" s="10">
        <v>2000</v>
      </c>
      <c r="AL31" s="10">
        <v>6</v>
      </c>
      <c r="AM31" s="10">
        <v>226.55007413178799</v>
      </c>
      <c r="AO31" s="10">
        <v>2000</v>
      </c>
      <c r="AP31" s="10">
        <v>6</v>
      </c>
      <c r="AQ31" s="10">
        <v>226.52877304049201</v>
      </c>
      <c r="AS31" s="10">
        <v>2000</v>
      </c>
      <c r="AT31" s="10">
        <v>6</v>
      </c>
      <c r="AU31" s="10">
        <v>226.52551661762701</v>
      </c>
      <c r="AW31" s="10">
        <v>2000</v>
      </c>
      <c r="AX31" s="10">
        <v>6</v>
      </c>
      <c r="AY31" s="10">
        <v>226.52168424125199</v>
      </c>
    </row>
    <row r="32" spans="1:51" x14ac:dyDescent="0.25">
      <c r="A32" s="8">
        <v>2000</v>
      </c>
      <c r="B32" s="8">
        <v>7</v>
      </c>
      <c r="C32" s="10">
        <v>228.48461988933801</v>
      </c>
      <c r="E32" s="10">
        <v>2000</v>
      </c>
      <c r="F32" s="10">
        <v>7</v>
      </c>
      <c r="G32" s="10">
        <v>229.92641806986899</v>
      </c>
      <c r="I32" s="10">
        <v>2000</v>
      </c>
      <c r="J32" s="10">
        <v>7</v>
      </c>
      <c r="K32" s="10">
        <v>229.91835221748599</v>
      </c>
      <c r="M32" s="10">
        <v>2000</v>
      </c>
      <c r="N32" s="10">
        <v>7</v>
      </c>
      <c r="O32" s="10">
        <v>229.963888815671</v>
      </c>
      <c r="Q32" s="10">
        <v>2000</v>
      </c>
      <c r="R32" s="10">
        <v>7</v>
      </c>
      <c r="S32" s="10">
        <v>230.00440934019599</v>
      </c>
      <c r="U32" s="10">
        <v>2000</v>
      </c>
      <c r="V32" s="10">
        <v>7</v>
      </c>
      <c r="W32" s="10">
        <v>230.07527590911499</v>
      </c>
      <c r="Y32" s="17">
        <v>2005</v>
      </c>
      <c r="Z32" s="17">
        <v>7</v>
      </c>
      <c r="AA32" s="17">
        <v>35464.478621731199</v>
      </c>
      <c r="AC32" s="10">
        <v>2000</v>
      </c>
      <c r="AD32" s="10">
        <v>7</v>
      </c>
      <c r="AE32" s="10">
        <v>230.06911958659299</v>
      </c>
      <c r="AG32" s="10">
        <v>2000</v>
      </c>
      <c r="AH32" s="10">
        <v>7</v>
      </c>
      <c r="AI32" s="10">
        <v>230.10263335968699</v>
      </c>
      <c r="AK32" s="10">
        <v>2000</v>
      </c>
      <c r="AL32" s="10">
        <v>7</v>
      </c>
      <c r="AM32" s="10">
        <v>230.06478826422301</v>
      </c>
      <c r="AO32" s="10">
        <v>2000</v>
      </c>
      <c r="AP32" s="10">
        <v>7</v>
      </c>
      <c r="AQ32" s="10">
        <v>230.12394463455101</v>
      </c>
      <c r="AS32" s="10">
        <v>2000</v>
      </c>
      <c r="AT32" s="10">
        <v>7</v>
      </c>
      <c r="AU32" s="10">
        <v>230.108130465351</v>
      </c>
      <c r="AW32" s="10">
        <v>2000</v>
      </c>
      <c r="AX32" s="10">
        <v>7</v>
      </c>
      <c r="AY32" s="10">
        <v>230.11454257747499</v>
      </c>
    </row>
    <row r="33" spans="1:51" x14ac:dyDescent="0.25">
      <c r="A33" s="8">
        <v>2000</v>
      </c>
      <c r="B33" s="8">
        <v>8</v>
      </c>
      <c r="C33" s="10">
        <v>222.05050686023199</v>
      </c>
      <c r="E33" s="10">
        <v>2000</v>
      </c>
      <c r="F33" s="10">
        <v>8</v>
      </c>
      <c r="G33" s="10">
        <v>221.39116830622501</v>
      </c>
      <c r="I33" s="10">
        <v>2000</v>
      </c>
      <c r="J33" s="10">
        <v>8</v>
      </c>
      <c r="K33" s="10">
        <v>221.39518767612799</v>
      </c>
      <c r="M33" s="10">
        <v>2000</v>
      </c>
      <c r="N33" s="10">
        <v>8</v>
      </c>
      <c r="O33" s="10">
        <v>221.365181831786</v>
      </c>
      <c r="Q33" s="10">
        <v>2000</v>
      </c>
      <c r="R33" s="10">
        <v>8</v>
      </c>
      <c r="S33" s="10">
        <v>221.32916180945799</v>
      </c>
      <c r="U33" s="10">
        <v>2000</v>
      </c>
      <c r="V33" s="10">
        <v>8</v>
      </c>
      <c r="W33" s="10">
        <v>221.27164539295799</v>
      </c>
      <c r="Y33" s="17">
        <v>2005</v>
      </c>
      <c r="Z33" s="17">
        <v>8</v>
      </c>
      <c r="AA33" s="17">
        <v>35945.112783576304</v>
      </c>
      <c r="AC33" s="10">
        <v>2000</v>
      </c>
      <c r="AD33" s="10">
        <v>8</v>
      </c>
      <c r="AE33" s="10">
        <v>221.27599269643599</v>
      </c>
      <c r="AG33" s="10">
        <v>2000</v>
      </c>
      <c r="AH33" s="10">
        <v>8</v>
      </c>
      <c r="AI33" s="10">
        <v>221.25482152484301</v>
      </c>
      <c r="AK33" s="10">
        <v>2000</v>
      </c>
      <c r="AL33" s="10">
        <v>8</v>
      </c>
      <c r="AM33" s="10">
        <v>221.27930655740801</v>
      </c>
      <c r="AO33" s="10">
        <v>2000</v>
      </c>
      <c r="AP33" s="10">
        <v>8</v>
      </c>
      <c r="AQ33" s="10">
        <v>221.240156966851</v>
      </c>
      <c r="AS33" s="10">
        <v>2000</v>
      </c>
      <c r="AT33" s="10">
        <v>8</v>
      </c>
      <c r="AU33" s="10">
        <v>221.26025000672701</v>
      </c>
      <c r="AW33" s="10">
        <v>2000</v>
      </c>
      <c r="AX33" s="10">
        <v>8</v>
      </c>
      <c r="AY33" s="10">
        <v>221.25870768655901</v>
      </c>
    </row>
    <row r="34" spans="1:51" x14ac:dyDescent="0.25">
      <c r="A34" s="8">
        <v>2000</v>
      </c>
      <c r="B34" s="8">
        <v>9</v>
      </c>
      <c r="C34" s="10">
        <v>229.48266285393001</v>
      </c>
      <c r="E34" s="10">
        <v>2000</v>
      </c>
      <c r="F34" s="10">
        <v>9</v>
      </c>
      <c r="G34" s="10">
        <v>229.45008771805499</v>
      </c>
      <c r="I34" s="10">
        <v>2000</v>
      </c>
      <c r="J34" s="10">
        <v>9</v>
      </c>
      <c r="K34" s="10">
        <v>229.44923727314099</v>
      </c>
      <c r="M34" s="10">
        <v>2000</v>
      </c>
      <c r="N34" s="10">
        <v>9</v>
      </c>
      <c r="O34" s="10">
        <v>229.454174274753</v>
      </c>
      <c r="Q34" s="10">
        <v>2000</v>
      </c>
      <c r="R34" s="10">
        <v>9</v>
      </c>
      <c r="S34" s="10">
        <v>229.45934894131301</v>
      </c>
      <c r="U34" s="10">
        <v>2000</v>
      </c>
      <c r="V34" s="10">
        <v>9</v>
      </c>
      <c r="W34" s="10">
        <v>229.461639853337</v>
      </c>
      <c r="Y34" s="17">
        <v>2005</v>
      </c>
      <c r="Z34" s="17">
        <v>9</v>
      </c>
      <c r="AA34" s="17">
        <v>36337.746859372703</v>
      </c>
      <c r="AC34" s="10">
        <v>2000</v>
      </c>
      <c r="AD34" s="10">
        <v>9</v>
      </c>
      <c r="AE34" s="10">
        <v>229.460862613991</v>
      </c>
      <c r="AG34" s="10">
        <v>2000</v>
      </c>
      <c r="AH34" s="10">
        <v>9</v>
      </c>
      <c r="AI34" s="10">
        <v>229.46406847083199</v>
      </c>
      <c r="AK34" s="10">
        <v>2000</v>
      </c>
      <c r="AL34" s="10">
        <v>9</v>
      </c>
      <c r="AM34" s="10">
        <v>229.460032089301</v>
      </c>
      <c r="AO34" s="10">
        <v>2000</v>
      </c>
      <c r="AP34" s="10">
        <v>9</v>
      </c>
      <c r="AQ34" s="10">
        <v>229.462815580593</v>
      </c>
      <c r="AS34" s="10">
        <v>2000</v>
      </c>
      <c r="AT34" s="10">
        <v>9</v>
      </c>
      <c r="AU34" s="10">
        <v>229.44068802268899</v>
      </c>
      <c r="AW34" s="10">
        <v>2000</v>
      </c>
      <c r="AX34" s="10">
        <v>9</v>
      </c>
      <c r="AY34" s="10">
        <v>229.437990024074</v>
      </c>
    </row>
    <row r="35" spans="1:51" x14ac:dyDescent="0.25">
      <c r="A35" s="8">
        <v>2000</v>
      </c>
      <c r="B35" s="8">
        <v>10</v>
      </c>
      <c r="C35" s="10">
        <v>215.23980212661701</v>
      </c>
      <c r="E35" s="10">
        <v>2000</v>
      </c>
      <c r="F35" s="10">
        <v>10</v>
      </c>
      <c r="G35" s="10">
        <v>215.915032706327</v>
      </c>
      <c r="I35" s="10">
        <v>2000</v>
      </c>
      <c r="J35" s="10">
        <v>10</v>
      </c>
      <c r="K35" s="10">
        <v>215.907473595233</v>
      </c>
      <c r="M35" s="10">
        <v>2000</v>
      </c>
      <c r="N35" s="10">
        <v>10</v>
      </c>
      <c r="O35" s="10">
        <v>215.94657778295399</v>
      </c>
      <c r="Q35" s="10">
        <v>2000</v>
      </c>
      <c r="R35" s="10">
        <v>10</v>
      </c>
      <c r="S35" s="10">
        <v>215.97865694759901</v>
      </c>
      <c r="U35" s="10">
        <v>2000</v>
      </c>
      <c r="V35" s="10">
        <v>10</v>
      </c>
      <c r="W35" s="10">
        <v>216.03388221894201</v>
      </c>
      <c r="Y35" s="17">
        <v>2005</v>
      </c>
      <c r="Z35" s="17">
        <v>10</v>
      </c>
      <c r="AA35" s="17">
        <v>36908.476945304399</v>
      </c>
      <c r="AC35" s="10">
        <v>2000</v>
      </c>
      <c r="AD35" s="10">
        <v>10</v>
      </c>
      <c r="AE35" s="10">
        <v>216.02898547145901</v>
      </c>
      <c r="AG35" s="10">
        <v>2000</v>
      </c>
      <c r="AH35" s="10">
        <v>10</v>
      </c>
      <c r="AI35" s="10">
        <v>216.056326842918</v>
      </c>
      <c r="AK35" s="10">
        <v>2000</v>
      </c>
      <c r="AL35" s="10">
        <v>10</v>
      </c>
      <c r="AM35" s="10">
        <v>216.02483749642701</v>
      </c>
      <c r="AO35" s="10">
        <v>2000</v>
      </c>
      <c r="AP35" s="10">
        <v>10</v>
      </c>
      <c r="AQ35" s="10">
        <v>216.065029583176</v>
      </c>
      <c r="AS35" s="10">
        <v>2000</v>
      </c>
      <c r="AT35" s="10">
        <v>10</v>
      </c>
      <c r="AU35" s="10">
        <v>216.05589221007801</v>
      </c>
      <c r="AW35" s="10">
        <v>2000</v>
      </c>
      <c r="AX35" s="10">
        <v>10</v>
      </c>
      <c r="AY35" s="10">
        <v>216.062255386554</v>
      </c>
    </row>
    <row r="36" spans="1:51" x14ac:dyDescent="0.25">
      <c r="A36" s="8">
        <v>2000</v>
      </c>
      <c r="B36" s="8">
        <v>11</v>
      </c>
      <c r="C36" s="10">
        <v>223.29842201716099</v>
      </c>
      <c r="E36" s="10">
        <v>2000</v>
      </c>
      <c r="F36" s="10">
        <v>11</v>
      </c>
      <c r="G36" s="10">
        <v>222.88295895932001</v>
      </c>
      <c r="I36" s="10">
        <v>2000</v>
      </c>
      <c r="J36" s="10">
        <v>11</v>
      </c>
      <c r="K36" s="10">
        <v>222.88609542219601</v>
      </c>
      <c r="M36" s="10">
        <v>2000</v>
      </c>
      <c r="N36" s="10">
        <v>11</v>
      </c>
      <c r="O36" s="10">
        <v>222.86690524206401</v>
      </c>
      <c r="Q36" s="10">
        <v>2000</v>
      </c>
      <c r="R36" s="10">
        <v>11</v>
      </c>
      <c r="S36" s="10">
        <v>222.84938249505399</v>
      </c>
      <c r="U36" s="10">
        <v>2000</v>
      </c>
      <c r="V36" s="10">
        <v>11</v>
      </c>
      <c r="W36" s="10">
        <v>222.81511712272999</v>
      </c>
      <c r="Y36" s="17">
        <v>2005</v>
      </c>
      <c r="Z36" s="17">
        <v>11</v>
      </c>
      <c r="AA36" s="17">
        <v>37711.450020316202</v>
      </c>
      <c r="AC36" s="10">
        <v>2000</v>
      </c>
      <c r="AD36" s="10">
        <v>11</v>
      </c>
      <c r="AE36" s="10">
        <v>222.81770610041301</v>
      </c>
      <c r="AG36" s="10">
        <v>2000</v>
      </c>
      <c r="AH36" s="10">
        <v>11</v>
      </c>
      <c r="AI36" s="10">
        <v>222.80309155005801</v>
      </c>
      <c r="AK36" s="10">
        <v>2000</v>
      </c>
      <c r="AL36" s="10">
        <v>11</v>
      </c>
      <c r="AM36" s="10">
        <v>222.819119572582</v>
      </c>
      <c r="AO36" s="10">
        <v>2000</v>
      </c>
      <c r="AP36" s="10">
        <v>11</v>
      </c>
      <c r="AQ36" s="10">
        <v>222.78654299762499</v>
      </c>
      <c r="AS36" s="10">
        <v>2000</v>
      </c>
      <c r="AT36" s="10">
        <v>11</v>
      </c>
      <c r="AU36" s="10">
        <v>222.784019764318</v>
      </c>
      <c r="AW36" s="10">
        <v>2000</v>
      </c>
      <c r="AX36" s="10">
        <v>11</v>
      </c>
      <c r="AY36" s="10">
        <v>222.77992726694501</v>
      </c>
    </row>
    <row r="37" spans="1:51" x14ac:dyDescent="0.25">
      <c r="A37" s="8">
        <v>2000</v>
      </c>
      <c r="B37" s="8">
        <v>12</v>
      </c>
      <c r="C37" s="10">
        <v>229.168617556409</v>
      </c>
      <c r="E37" s="10">
        <v>2000</v>
      </c>
      <c r="F37" s="10">
        <v>12</v>
      </c>
      <c r="G37" s="10">
        <v>229.795875443217</v>
      </c>
      <c r="I37" s="10">
        <v>2000</v>
      </c>
      <c r="J37" s="10">
        <v>12</v>
      </c>
      <c r="K37" s="10">
        <v>229.78909721429201</v>
      </c>
      <c r="M37" s="10">
        <v>2000</v>
      </c>
      <c r="N37" s="10">
        <v>12</v>
      </c>
      <c r="O37" s="10">
        <v>229.830472482646</v>
      </c>
      <c r="Q37" s="10">
        <v>2000</v>
      </c>
      <c r="R37" s="10">
        <v>12</v>
      </c>
      <c r="S37" s="10">
        <v>229.87398653425001</v>
      </c>
      <c r="U37" s="10">
        <v>2000</v>
      </c>
      <c r="V37" s="10">
        <v>12</v>
      </c>
      <c r="W37" s="10">
        <v>229.93473883920601</v>
      </c>
      <c r="Y37" s="17">
        <v>2005</v>
      </c>
      <c r="Z37" s="17">
        <v>12</v>
      </c>
      <c r="AA37" s="17">
        <v>38673.319281688098</v>
      </c>
      <c r="AC37" s="10">
        <v>2000</v>
      </c>
      <c r="AD37" s="10">
        <v>12</v>
      </c>
      <c r="AE37" s="10">
        <v>229.928845827125</v>
      </c>
      <c r="AG37" s="10">
        <v>2000</v>
      </c>
      <c r="AH37" s="10">
        <v>12</v>
      </c>
      <c r="AI37" s="10">
        <v>229.957621481404</v>
      </c>
      <c r="AK37" s="10">
        <v>2000</v>
      </c>
      <c r="AL37" s="10">
        <v>12</v>
      </c>
      <c r="AM37" s="10">
        <v>229.92362057840299</v>
      </c>
      <c r="AO37" s="10">
        <v>2000</v>
      </c>
      <c r="AP37" s="10">
        <v>12</v>
      </c>
      <c r="AQ37" s="10">
        <v>229.966784057589</v>
      </c>
      <c r="AS37" s="10">
        <v>2000</v>
      </c>
      <c r="AT37" s="10">
        <v>12</v>
      </c>
      <c r="AU37" s="10">
        <v>229.913524052188</v>
      </c>
      <c r="AW37" s="10">
        <v>2000</v>
      </c>
      <c r="AX37" s="10">
        <v>12</v>
      </c>
      <c r="AY37" s="10">
        <v>229.91249351660801</v>
      </c>
    </row>
    <row r="38" spans="1:51" x14ac:dyDescent="0.25">
      <c r="A38" s="8">
        <v>2001</v>
      </c>
      <c r="B38" s="8">
        <v>1</v>
      </c>
      <c r="C38" s="10">
        <v>219.77183034152301</v>
      </c>
      <c r="E38" s="10">
        <v>2001</v>
      </c>
      <c r="F38" s="10">
        <v>1</v>
      </c>
      <c r="G38" s="10">
        <v>219.03647693569701</v>
      </c>
      <c r="I38" s="10">
        <v>2001</v>
      </c>
      <c r="J38" s="10">
        <v>1</v>
      </c>
      <c r="K38" s="10">
        <v>219.04439756576201</v>
      </c>
      <c r="M38" s="10">
        <v>2001</v>
      </c>
      <c r="N38" s="10">
        <v>1</v>
      </c>
      <c r="O38" s="10">
        <v>219.00148188184099</v>
      </c>
      <c r="Q38" s="10">
        <v>2001</v>
      </c>
      <c r="R38" s="10">
        <v>1</v>
      </c>
      <c r="S38" s="10">
        <v>218.96692347352399</v>
      </c>
      <c r="U38" s="10">
        <v>2001</v>
      </c>
      <c r="V38" s="10">
        <v>1</v>
      </c>
      <c r="W38" s="10">
        <v>218.90304612355399</v>
      </c>
      <c r="Y38" s="17">
        <v>2006</v>
      </c>
      <c r="Z38" s="17">
        <v>1</v>
      </c>
      <c r="AA38" s="17">
        <v>39710.768268482301</v>
      </c>
      <c r="AC38" s="10">
        <v>2001</v>
      </c>
      <c r="AD38" s="10">
        <v>1</v>
      </c>
      <c r="AE38" s="10">
        <v>218.90853423542899</v>
      </c>
      <c r="AG38" s="10">
        <v>2001</v>
      </c>
      <c r="AH38" s="10">
        <v>1</v>
      </c>
      <c r="AI38" s="10">
        <v>218.876587572386</v>
      </c>
      <c r="AK38" s="10">
        <v>2001</v>
      </c>
      <c r="AL38" s="10">
        <v>1</v>
      </c>
      <c r="AM38" s="10">
        <v>218.912138452367</v>
      </c>
      <c r="AO38" s="10">
        <v>2001</v>
      </c>
      <c r="AP38" s="10">
        <v>1</v>
      </c>
      <c r="AQ38" s="10">
        <v>218.85115564997199</v>
      </c>
      <c r="AS38" s="10">
        <v>2001</v>
      </c>
      <c r="AT38" s="10">
        <v>1</v>
      </c>
      <c r="AU38" s="10">
        <v>218.85731194508699</v>
      </c>
      <c r="AW38" s="10">
        <v>2001</v>
      </c>
      <c r="AX38" s="10">
        <v>1</v>
      </c>
      <c r="AY38" s="10">
        <v>218.85137313307899</v>
      </c>
    </row>
    <row r="39" spans="1:51" x14ac:dyDescent="0.25">
      <c r="A39" s="8">
        <v>2001</v>
      </c>
      <c r="B39" s="8">
        <v>2</v>
      </c>
      <c r="C39" s="10">
        <v>228.629996854192</v>
      </c>
      <c r="E39" s="10">
        <v>2001</v>
      </c>
      <c r="F39" s="10">
        <v>2</v>
      </c>
      <c r="G39" s="10">
        <v>228.55343060826499</v>
      </c>
      <c r="I39" s="10">
        <v>2001</v>
      </c>
      <c r="J39" s="10">
        <v>2</v>
      </c>
      <c r="K39" s="10">
        <v>228.550541358267</v>
      </c>
      <c r="M39" s="10">
        <v>2001</v>
      </c>
      <c r="N39" s="10">
        <v>2</v>
      </c>
      <c r="O39" s="10">
        <v>228.552356121993</v>
      </c>
      <c r="Q39" s="10">
        <v>2001</v>
      </c>
      <c r="R39" s="10">
        <v>2</v>
      </c>
      <c r="S39" s="10">
        <v>228.536319506025</v>
      </c>
      <c r="U39" s="10">
        <v>2001</v>
      </c>
      <c r="V39" s="10">
        <v>2</v>
      </c>
      <c r="W39" s="10">
        <v>228.61027910023</v>
      </c>
      <c r="Y39" s="17">
        <v>2006</v>
      </c>
      <c r="Z39" s="17">
        <v>2</v>
      </c>
      <c r="AA39" s="17">
        <v>40588.911613891301</v>
      </c>
      <c r="AC39" s="10">
        <v>2001</v>
      </c>
      <c r="AD39" s="10">
        <v>2</v>
      </c>
      <c r="AE39" s="10">
        <v>228.611261741622</v>
      </c>
      <c r="AG39" s="10">
        <v>2001</v>
      </c>
      <c r="AH39" s="10">
        <v>2</v>
      </c>
      <c r="AI39" s="10">
        <v>228.61392103131601</v>
      </c>
      <c r="AK39" s="10">
        <v>2001</v>
      </c>
      <c r="AL39" s="10">
        <v>2</v>
      </c>
      <c r="AM39" s="10">
        <v>228.61446440281699</v>
      </c>
      <c r="AO39" s="10">
        <v>2001</v>
      </c>
      <c r="AP39" s="10">
        <v>2</v>
      </c>
      <c r="AQ39" s="10">
        <v>228.61007988479901</v>
      </c>
      <c r="AS39" s="10">
        <v>2001</v>
      </c>
      <c r="AT39" s="10">
        <v>2</v>
      </c>
      <c r="AU39" s="10">
        <v>228.91837708212699</v>
      </c>
      <c r="AW39" s="10">
        <v>2001</v>
      </c>
      <c r="AX39" s="10">
        <v>2</v>
      </c>
      <c r="AY39" s="10">
        <v>228.96866574378899</v>
      </c>
    </row>
    <row r="40" spans="1:51" x14ac:dyDescent="0.25">
      <c r="A40" s="8">
        <v>2001</v>
      </c>
      <c r="B40" s="8">
        <v>3</v>
      </c>
      <c r="C40" s="10">
        <v>206.285948586373</v>
      </c>
      <c r="E40" s="10">
        <v>2001</v>
      </c>
      <c r="F40" s="10">
        <v>3</v>
      </c>
      <c r="G40" s="10">
        <v>206.89021463864</v>
      </c>
      <c r="I40" s="10">
        <v>2001</v>
      </c>
      <c r="J40" s="10">
        <v>3</v>
      </c>
      <c r="K40" s="10">
        <v>206.89718300862299</v>
      </c>
      <c r="M40" s="10">
        <v>2001</v>
      </c>
      <c r="N40" s="10">
        <v>3</v>
      </c>
      <c r="O40" s="10">
        <v>206.908275840708</v>
      </c>
      <c r="Q40" s="10">
        <v>2001</v>
      </c>
      <c r="R40" s="10">
        <v>3</v>
      </c>
      <c r="S40" s="10">
        <v>206.990322052095</v>
      </c>
      <c r="U40" s="10">
        <v>2001</v>
      </c>
      <c r="V40" s="10">
        <v>3</v>
      </c>
      <c r="W40" s="10">
        <v>207.13223343195199</v>
      </c>
      <c r="Y40" s="17">
        <v>2006</v>
      </c>
      <c r="Z40" s="17">
        <v>3</v>
      </c>
      <c r="AA40" s="17">
        <v>41091.807128418601</v>
      </c>
      <c r="AC40" s="10">
        <v>2001</v>
      </c>
      <c r="AD40" s="10">
        <v>3</v>
      </c>
      <c r="AE40" s="10">
        <v>207.12440540663101</v>
      </c>
      <c r="AG40" s="10">
        <v>2001</v>
      </c>
      <c r="AH40" s="10">
        <v>3</v>
      </c>
      <c r="AI40" s="10">
        <v>207.129484844687</v>
      </c>
      <c r="AK40" s="10">
        <v>2001</v>
      </c>
      <c r="AL40" s="10">
        <v>3</v>
      </c>
      <c r="AM40" s="10">
        <v>207.12095592003601</v>
      </c>
      <c r="AO40" s="10">
        <v>2001</v>
      </c>
      <c r="AP40" s="10">
        <v>3</v>
      </c>
      <c r="AQ40" s="10">
        <v>207.13510856983001</v>
      </c>
      <c r="AS40" s="10">
        <v>2001</v>
      </c>
      <c r="AT40" s="10">
        <v>3</v>
      </c>
      <c r="AU40" s="10">
        <v>207.11941119058099</v>
      </c>
      <c r="AW40" s="10">
        <v>2001</v>
      </c>
      <c r="AX40" s="10">
        <v>3</v>
      </c>
      <c r="AY40" s="10">
        <v>207.11793998642</v>
      </c>
    </row>
    <row r="41" spans="1:51" x14ac:dyDescent="0.25">
      <c r="A41" s="8">
        <v>2001</v>
      </c>
      <c r="B41" s="8">
        <v>4</v>
      </c>
      <c r="C41" s="10">
        <v>213.21866607791</v>
      </c>
      <c r="E41" s="10">
        <v>2001</v>
      </c>
      <c r="F41" s="10">
        <v>4</v>
      </c>
      <c r="G41" s="10">
        <v>212.50348791523299</v>
      </c>
      <c r="I41" s="10">
        <v>2001</v>
      </c>
      <c r="J41" s="10">
        <v>4</v>
      </c>
      <c r="K41" s="10">
        <v>212.49988429747199</v>
      </c>
      <c r="M41" s="10">
        <v>2001</v>
      </c>
      <c r="N41" s="10">
        <v>4</v>
      </c>
      <c r="O41" s="10">
        <v>212.47078503939599</v>
      </c>
      <c r="Q41" s="10">
        <v>2001</v>
      </c>
      <c r="R41" s="10">
        <v>4</v>
      </c>
      <c r="S41" s="10">
        <v>212.36290440240199</v>
      </c>
      <c r="U41" s="10">
        <v>2001</v>
      </c>
      <c r="V41" s="10">
        <v>4</v>
      </c>
      <c r="W41" s="10">
        <v>212.18286418823001</v>
      </c>
      <c r="Y41" s="17">
        <v>2006</v>
      </c>
      <c r="Z41" s="17">
        <v>4</v>
      </c>
      <c r="AA41" s="17">
        <v>41519.863287731998</v>
      </c>
      <c r="AC41" s="10">
        <v>2001</v>
      </c>
      <c r="AD41" s="10">
        <v>4</v>
      </c>
      <c r="AE41" s="10">
        <v>212.195233410497</v>
      </c>
      <c r="AG41" s="10">
        <v>2001</v>
      </c>
      <c r="AH41" s="10">
        <v>4</v>
      </c>
      <c r="AI41" s="10">
        <v>212.18131366519199</v>
      </c>
      <c r="AK41" s="10">
        <v>2001</v>
      </c>
      <c r="AL41" s="10">
        <v>4</v>
      </c>
      <c r="AM41" s="10">
        <v>212.20253158531801</v>
      </c>
      <c r="AO41" s="10">
        <v>2001</v>
      </c>
      <c r="AP41" s="10">
        <v>4</v>
      </c>
      <c r="AQ41" s="10">
        <v>212.21661887243499</v>
      </c>
      <c r="AS41" s="10">
        <v>2001</v>
      </c>
      <c r="AT41" s="10">
        <v>4</v>
      </c>
      <c r="AU41" s="10">
        <v>212.262344226789</v>
      </c>
      <c r="AW41" s="10">
        <v>2001</v>
      </c>
      <c r="AX41" s="10">
        <v>4</v>
      </c>
      <c r="AY41" s="10">
        <v>212.26063114221199</v>
      </c>
    </row>
    <row r="42" spans="1:51" x14ac:dyDescent="0.25">
      <c r="A42" s="8">
        <v>2001</v>
      </c>
      <c r="B42" s="8">
        <v>5</v>
      </c>
      <c r="C42" s="10">
        <v>203.81006650504901</v>
      </c>
      <c r="E42" s="10">
        <v>2001</v>
      </c>
      <c r="F42" s="10">
        <v>5</v>
      </c>
      <c r="G42" s="10">
        <v>203.339125830483</v>
      </c>
      <c r="I42" s="10">
        <v>2001</v>
      </c>
      <c r="J42" s="10">
        <v>5</v>
      </c>
      <c r="K42" s="10">
        <v>203.34351138978801</v>
      </c>
      <c r="M42" s="10">
        <v>2001</v>
      </c>
      <c r="N42" s="10">
        <v>5</v>
      </c>
      <c r="O42" s="10">
        <v>203.322846519325</v>
      </c>
      <c r="Q42" s="10">
        <v>2001</v>
      </c>
      <c r="R42" s="10">
        <v>5</v>
      </c>
      <c r="S42" s="10">
        <v>203.30871906885</v>
      </c>
      <c r="U42" s="10">
        <v>2001</v>
      </c>
      <c r="V42" s="10">
        <v>5</v>
      </c>
      <c r="W42" s="10">
        <v>203.28227655424001</v>
      </c>
      <c r="Y42" s="17">
        <v>2006</v>
      </c>
      <c r="Z42" s="17">
        <v>5</v>
      </c>
      <c r="AA42" s="17">
        <v>42333.924632358903</v>
      </c>
      <c r="AC42" s="10">
        <v>2001</v>
      </c>
      <c r="AD42" s="10">
        <v>5</v>
      </c>
      <c r="AE42" s="10">
        <v>203.28413052043501</v>
      </c>
      <c r="AG42" s="10">
        <v>2001</v>
      </c>
      <c r="AH42" s="10">
        <v>5</v>
      </c>
      <c r="AI42" s="10">
        <v>203.26941144246399</v>
      </c>
      <c r="AK42" s="10">
        <v>2001</v>
      </c>
      <c r="AL42" s="10">
        <v>5</v>
      </c>
      <c r="AM42" s="10">
        <v>203.286583537751</v>
      </c>
      <c r="AO42" s="10">
        <v>2001</v>
      </c>
      <c r="AP42" s="10">
        <v>5</v>
      </c>
      <c r="AQ42" s="10">
        <v>203.26408339486801</v>
      </c>
      <c r="AS42" s="10">
        <v>2001</v>
      </c>
      <c r="AT42" s="10">
        <v>5</v>
      </c>
      <c r="AU42" s="10">
        <v>203.25369886400799</v>
      </c>
      <c r="AW42" s="10">
        <v>2001</v>
      </c>
      <c r="AX42" s="10">
        <v>5</v>
      </c>
      <c r="AY42" s="10">
        <v>203.24873946093899</v>
      </c>
    </row>
    <row r="43" spans="1:51" x14ac:dyDescent="0.25">
      <c r="A43" s="8">
        <v>2001</v>
      </c>
      <c r="B43" s="8">
        <v>6</v>
      </c>
      <c r="C43" s="10">
        <v>208.15873240594101</v>
      </c>
      <c r="E43" s="10">
        <v>2001</v>
      </c>
      <c r="F43" s="10">
        <v>6</v>
      </c>
      <c r="G43" s="10">
        <v>208.44077359279899</v>
      </c>
      <c r="I43" s="10">
        <v>2001</v>
      </c>
      <c r="J43" s="10">
        <v>6</v>
      </c>
      <c r="K43" s="10">
        <v>208.43696015769601</v>
      </c>
      <c r="M43" s="10">
        <v>2001</v>
      </c>
      <c r="N43" s="10">
        <v>6</v>
      </c>
      <c r="O43" s="10">
        <v>208.46171390000501</v>
      </c>
      <c r="Q43" s="10">
        <v>2001</v>
      </c>
      <c r="R43" s="10">
        <v>6</v>
      </c>
      <c r="S43" s="10">
        <v>208.48826353160899</v>
      </c>
      <c r="U43" s="10">
        <v>2001</v>
      </c>
      <c r="V43" s="10">
        <v>6</v>
      </c>
      <c r="W43" s="10">
        <v>208.52620904154901</v>
      </c>
      <c r="Y43" s="17">
        <v>2006</v>
      </c>
      <c r="Z43" s="17">
        <v>6</v>
      </c>
      <c r="AA43" s="17">
        <v>43313.238108462101</v>
      </c>
      <c r="AC43" s="10">
        <v>2001</v>
      </c>
      <c r="AD43" s="10">
        <v>6</v>
      </c>
      <c r="AE43" s="10">
        <v>208.522005816584</v>
      </c>
      <c r="AG43" s="10">
        <v>2001</v>
      </c>
      <c r="AH43" s="10">
        <v>6</v>
      </c>
      <c r="AI43" s="10">
        <v>208.53988433681499</v>
      </c>
      <c r="AK43" s="10">
        <v>2001</v>
      </c>
      <c r="AL43" s="10">
        <v>6</v>
      </c>
      <c r="AM43" s="10">
        <v>208.51954342339701</v>
      </c>
      <c r="AO43" s="10">
        <v>2001</v>
      </c>
      <c r="AP43" s="10">
        <v>6</v>
      </c>
      <c r="AQ43" s="10">
        <v>208.54876952069301</v>
      </c>
      <c r="AS43" s="10">
        <v>2001</v>
      </c>
      <c r="AT43" s="10">
        <v>6</v>
      </c>
      <c r="AU43" s="10">
        <v>208.50674188957899</v>
      </c>
      <c r="AW43" s="10">
        <v>2001</v>
      </c>
      <c r="AX43" s="10">
        <v>6</v>
      </c>
      <c r="AY43" s="10">
        <v>208.50543575433301</v>
      </c>
    </row>
    <row r="44" spans="1:51" x14ac:dyDescent="0.25">
      <c r="A44" s="8">
        <v>2001</v>
      </c>
      <c r="B44" s="8">
        <v>7</v>
      </c>
      <c r="C44" s="10">
        <v>202.75875821795401</v>
      </c>
      <c r="E44" s="10">
        <v>2001</v>
      </c>
      <c r="F44" s="10">
        <v>7</v>
      </c>
      <c r="G44" s="10">
        <v>203.23917783808901</v>
      </c>
      <c r="I44" s="10">
        <v>2001</v>
      </c>
      <c r="J44" s="10">
        <v>7</v>
      </c>
      <c r="K44" s="10">
        <v>203.23805225090999</v>
      </c>
      <c r="M44" s="10">
        <v>2001</v>
      </c>
      <c r="N44" s="10">
        <v>7</v>
      </c>
      <c r="O44" s="10">
        <v>203.24506814147699</v>
      </c>
      <c r="Q44" s="10">
        <v>2001</v>
      </c>
      <c r="R44" s="10">
        <v>7</v>
      </c>
      <c r="S44" s="10">
        <v>203.25225229552399</v>
      </c>
      <c r="U44" s="10">
        <v>2001</v>
      </c>
      <c r="V44" s="10">
        <v>7</v>
      </c>
      <c r="W44" s="10">
        <v>203.26658885355599</v>
      </c>
      <c r="Y44" s="17">
        <v>2006</v>
      </c>
      <c r="Z44" s="17">
        <v>7</v>
      </c>
      <c r="AA44" s="17">
        <v>44235.151968033897</v>
      </c>
      <c r="AC44" s="10">
        <v>2001</v>
      </c>
      <c r="AD44" s="10">
        <v>7</v>
      </c>
      <c r="AE44" s="10">
        <v>203.26521598967</v>
      </c>
      <c r="AG44" s="10">
        <v>2001</v>
      </c>
      <c r="AH44" s="10">
        <v>7</v>
      </c>
      <c r="AI44" s="10">
        <v>203.27056315726401</v>
      </c>
      <c r="AK44" s="10">
        <v>2001</v>
      </c>
      <c r="AL44" s="10">
        <v>7</v>
      </c>
      <c r="AM44" s="10">
        <v>203.264780325212</v>
      </c>
      <c r="AO44" s="10">
        <v>2001</v>
      </c>
      <c r="AP44" s="10">
        <v>7</v>
      </c>
      <c r="AQ44" s="10">
        <v>203.27303577180299</v>
      </c>
      <c r="AS44" s="10">
        <v>2001</v>
      </c>
      <c r="AT44" s="10">
        <v>7</v>
      </c>
      <c r="AU44" s="10">
        <v>203.27089213070599</v>
      </c>
      <c r="AW44" s="10">
        <v>2001</v>
      </c>
      <c r="AX44" s="10">
        <v>7</v>
      </c>
      <c r="AY44" s="10">
        <v>203.272420765493</v>
      </c>
    </row>
    <row r="45" spans="1:51" x14ac:dyDescent="0.25">
      <c r="A45" s="8">
        <v>2001</v>
      </c>
      <c r="B45" s="8">
        <v>8</v>
      </c>
      <c r="C45" s="10">
        <v>204.21069475004501</v>
      </c>
      <c r="E45" s="10">
        <v>2001</v>
      </c>
      <c r="F45" s="10">
        <v>8</v>
      </c>
      <c r="G45" s="10">
        <v>203.62486322779901</v>
      </c>
      <c r="I45" s="10">
        <v>2001</v>
      </c>
      <c r="J45" s="10">
        <v>8</v>
      </c>
      <c r="K45" s="10">
        <v>203.627991240168</v>
      </c>
      <c r="M45" s="10">
        <v>2001</v>
      </c>
      <c r="N45" s="10">
        <v>8</v>
      </c>
      <c r="O45" s="10">
        <v>203.60097265249601</v>
      </c>
      <c r="Q45" s="10">
        <v>2001</v>
      </c>
      <c r="R45" s="10">
        <v>8</v>
      </c>
      <c r="S45" s="10">
        <v>203.565960348815</v>
      </c>
      <c r="U45" s="10">
        <v>2001</v>
      </c>
      <c r="V45" s="10">
        <v>8</v>
      </c>
      <c r="W45" s="10">
        <v>203.51334691653301</v>
      </c>
      <c r="Y45" s="17">
        <v>2006</v>
      </c>
      <c r="Z45" s="17">
        <v>8</v>
      </c>
      <c r="AA45" s="17">
        <v>45180.069599224204</v>
      </c>
      <c r="AC45" s="10">
        <v>2001</v>
      </c>
      <c r="AD45" s="10">
        <v>8</v>
      </c>
      <c r="AE45" s="10">
        <v>203.51724245669399</v>
      </c>
      <c r="AG45" s="10">
        <v>2001</v>
      </c>
      <c r="AH45" s="10">
        <v>8</v>
      </c>
      <c r="AI45" s="10">
        <v>203.49827255591001</v>
      </c>
      <c r="AK45" s="10">
        <v>2001</v>
      </c>
      <c r="AL45" s="10">
        <v>8</v>
      </c>
      <c r="AM45" s="10">
        <v>203.52024639009301</v>
      </c>
      <c r="AO45" s="10">
        <v>2001</v>
      </c>
      <c r="AP45" s="10">
        <v>8</v>
      </c>
      <c r="AQ45" s="10">
        <v>203.482427590345</v>
      </c>
      <c r="AS45" s="10">
        <v>2001</v>
      </c>
      <c r="AT45" s="10">
        <v>8</v>
      </c>
      <c r="AU45" s="10">
        <v>203.51055262265899</v>
      </c>
      <c r="AW45" s="10">
        <v>2001</v>
      </c>
      <c r="AX45" s="10">
        <v>8</v>
      </c>
      <c r="AY45" s="10">
        <v>203.511334638687</v>
      </c>
    </row>
    <row r="46" spans="1:51" x14ac:dyDescent="0.25">
      <c r="A46" s="8">
        <v>2001</v>
      </c>
      <c r="B46" s="8">
        <v>9</v>
      </c>
      <c r="C46" s="10">
        <v>200.30641777432501</v>
      </c>
      <c r="E46" s="10">
        <v>2001</v>
      </c>
      <c r="F46" s="10">
        <v>9</v>
      </c>
      <c r="G46" s="10">
        <v>201.00881170887001</v>
      </c>
      <c r="I46" s="10">
        <v>2001</v>
      </c>
      <c r="J46" s="10">
        <v>9</v>
      </c>
      <c r="K46" s="10">
        <v>201.001239378836</v>
      </c>
      <c r="M46" s="10">
        <v>2001</v>
      </c>
      <c r="N46" s="10">
        <v>9</v>
      </c>
      <c r="O46" s="10">
        <v>201.04719970083099</v>
      </c>
      <c r="Q46" s="10">
        <v>2001</v>
      </c>
      <c r="R46" s="10">
        <v>9</v>
      </c>
      <c r="S46" s="10">
        <v>201.09423858917299</v>
      </c>
      <c r="U46" s="10">
        <v>2001</v>
      </c>
      <c r="V46" s="10">
        <v>9</v>
      </c>
      <c r="W46" s="10">
        <v>201.16283675051201</v>
      </c>
      <c r="Y46" s="17">
        <v>2006</v>
      </c>
      <c r="Z46" s="17">
        <v>9</v>
      </c>
      <c r="AA46" s="17">
        <v>46008.999913333399</v>
      </c>
      <c r="AC46" s="10">
        <v>2001</v>
      </c>
      <c r="AD46" s="10">
        <v>9</v>
      </c>
      <c r="AE46" s="10">
        <v>201.156241206787</v>
      </c>
      <c r="AG46" s="10">
        <v>2001</v>
      </c>
      <c r="AH46" s="10">
        <v>9</v>
      </c>
      <c r="AI46" s="10">
        <v>201.18857060238</v>
      </c>
      <c r="AK46" s="10">
        <v>2001</v>
      </c>
      <c r="AL46" s="10">
        <v>9</v>
      </c>
      <c r="AM46" s="10">
        <v>201.15073988903899</v>
      </c>
      <c r="AO46" s="10">
        <v>2001</v>
      </c>
      <c r="AP46" s="10">
        <v>9</v>
      </c>
      <c r="AQ46" s="10">
        <v>201.20249032091701</v>
      </c>
      <c r="AS46" s="10">
        <v>2001</v>
      </c>
      <c r="AT46" s="10">
        <v>9</v>
      </c>
      <c r="AU46" s="10">
        <v>201.15046848897899</v>
      </c>
      <c r="AW46" s="10">
        <v>2001</v>
      </c>
      <c r="AX46" s="10">
        <v>9</v>
      </c>
      <c r="AY46" s="10">
        <v>201.150472702157</v>
      </c>
    </row>
    <row r="47" spans="1:51" x14ac:dyDescent="0.25">
      <c r="A47" s="8">
        <v>2001</v>
      </c>
      <c r="B47" s="8">
        <v>10</v>
      </c>
      <c r="C47" s="10">
        <v>201.156693150309</v>
      </c>
      <c r="E47" s="10">
        <v>2001</v>
      </c>
      <c r="F47" s="10">
        <v>10</v>
      </c>
      <c r="G47" s="10">
        <v>201.17744631245901</v>
      </c>
      <c r="I47" s="10">
        <v>2001</v>
      </c>
      <c r="J47" s="10">
        <v>10</v>
      </c>
      <c r="K47" s="10">
        <v>201.17642741555599</v>
      </c>
      <c r="M47" s="10">
        <v>2001</v>
      </c>
      <c r="N47" s="10">
        <v>10</v>
      </c>
      <c r="O47" s="10">
        <v>201.17565770869399</v>
      </c>
      <c r="Q47" s="10">
        <v>2001</v>
      </c>
      <c r="R47" s="10">
        <v>10</v>
      </c>
      <c r="S47" s="10">
        <v>201.16831411860599</v>
      </c>
      <c r="U47" s="10">
        <v>2001</v>
      </c>
      <c r="V47" s="10">
        <v>10</v>
      </c>
      <c r="W47" s="10">
        <v>201.161152741731</v>
      </c>
      <c r="Y47" s="17">
        <v>2006</v>
      </c>
      <c r="Z47" s="17">
        <v>10</v>
      </c>
      <c r="AA47" s="17">
        <v>46931.454232374097</v>
      </c>
      <c r="AC47" s="10">
        <v>2001</v>
      </c>
      <c r="AD47" s="10">
        <v>10</v>
      </c>
      <c r="AE47" s="10">
        <v>201.16189613227499</v>
      </c>
      <c r="AG47" s="10">
        <v>2001</v>
      </c>
      <c r="AH47" s="10">
        <v>10</v>
      </c>
      <c r="AI47" s="10">
        <v>201.16027828816701</v>
      </c>
      <c r="AK47" s="10">
        <v>2001</v>
      </c>
      <c r="AL47" s="10">
        <v>10</v>
      </c>
      <c r="AM47" s="10">
        <v>201.161745344905</v>
      </c>
      <c r="AO47" s="10">
        <v>2001</v>
      </c>
      <c r="AP47" s="10">
        <v>10</v>
      </c>
      <c r="AQ47" s="10">
        <v>201.149837535291</v>
      </c>
      <c r="AS47" s="10">
        <v>2001</v>
      </c>
      <c r="AT47" s="10">
        <v>10</v>
      </c>
      <c r="AU47" s="10">
        <v>201.17403884891201</v>
      </c>
      <c r="AW47" s="10">
        <v>2001</v>
      </c>
      <c r="AX47" s="10">
        <v>10</v>
      </c>
      <c r="AY47" s="10">
        <v>201.17803770005301</v>
      </c>
    </row>
    <row r="48" spans="1:51" x14ac:dyDescent="0.25">
      <c r="A48" s="8">
        <v>2001</v>
      </c>
      <c r="B48" s="8">
        <v>11</v>
      </c>
      <c r="C48" s="10">
        <v>199.37372219231199</v>
      </c>
      <c r="E48" s="10">
        <v>2001</v>
      </c>
      <c r="F48" s="10">
        <v>11</v>
      </c>
      <c r="G48" s="10">
        <v>198.91164849045299</v>
      </c>
      <c r="I48" s="10">
        <v>2001</v>
      </c>
      <c r="J48" s="10">
        <v>11</v>
      </c>
      <c r="K48" s="10">
        <v>198.91536587212499</v>
      </c>
      <c r="M48" s="10">
        <v>2001</v>
      </c>
      <c r="N48" s="10">
        <v>11</v>
      </c>
      <c r="O48" s="10">
        <v>198.89146018986901</v>
      </c>
      <c r="Q48" s="10">
        <v>2001</v>
      </c>
      <c r="R48" s="10">
        <v>11</v>
      </c>
      <c r="S48" s="10">
        <v>198.86859401893099</v>
      </c>
      <c r="U48" s="10">
        <v>2001</v>
      </c>
      <c r="V48" s="10">
        <v>11</v>
      </c>
      <c r="W48" s="10">
        <v>198.825725531622</v>
      </c>
      <c r="Y48" s="17">
        <v>2006</v>
      </c>
      <c r="Z48" s="17">
        <v>11</v>
      </c>
      <c r="AA48" s="17">
        <v>47869.242163601099</v>
      </c>
      <c r="AC48" s="10">
        <v>2001</v>
      </c>
      <c r="AD48" s="10">
        <v>11</v>
      </c>
      <c r="AE48" s="10">
        <v>198.82919319612699</v>
      </c>
      <c r="AG48" s="10">
        <v>2001</v>
      </c>
      <c r="AH48" s="10">
        <v>11</v>
      </c>
      <c r="AI48" s="10">
        <v>198.81071723199599</v>
      </c>
      <c r="AK48" s="10">
        <v>2001</v>
      </c>
      <c r="AL48" s="10">
        <v>11</v>
      </c>
      <c r="AM48" s="10">
        <v>198.83071671624299</v>
      </c>
      <c r="AO48" s="10">
        <v>2001</v>
      </c>
      <c r="AP48" s="10">
        <v>11</v>
      </c>
      <c r="AQ48" s="10">
        <v>198.788724565319</v>
      </c>
      <c r="AS48" s="10">
        <v>2001</v>
      </c>
      <c r="AT48" s="10">
        <v>11</v>
      </c>
      <c r="AU48" s="10">
        <v>198.79407815454499</v>
      </c>
      <c r="AW48" s="10">
        <v>2001</v>
      </c>
      <c r="AX48" s="10">
        <v>11</v>
      </c>
      <c r="AY48" s="10">
        <v>198.79009063161999</v>
      </c>
    </row>
    <row r="49" spans="1:51" x14ac:dyDescent="0.25">
      <c r="A49" s="8">
        <v>2001</v>
      </c>
      <c r="B49" s="8">
        <v>12</v>
      </c>
      <c r="C49" s="10">
        <v>198.29898557818601</v>
      </c>
      <c r="E49" s="10">
        <v>2001</v>
      </c>
      <c r="F49" s="10">
        <v>12</v>
      </c>
      <c r="G49" s="10">
        <v>198.99194760477499</v>
      </c>
      <c r="I49" s="10">
        <v>2001</v>
      </c>
      <c r="J49" s="10">
        <v>12</v>
      </c>
      <c r="K49" s="10">
        <v>198.984753587065</v>
      </c>
      <c r="M49" s="10">
        <v>2001</v>
      </c>
      <c r="N49" s="10">
        <v>12</v>
      </c>
      <c r="O49" s="10">
        <v>199.02749719634801</v>
      </c>
      <c r="Q49" s="10">
        <v>2001</v>
      </c>
      <c r="R49" s="10">
        <v>12</v>
      </c>
      <c r="S49" s="10">
        <v>199.071877174837</v>
      </c>
      <c r="U49" s="10">
        <v>2001</v>
      </c>
      <c r="V49" s="10">
        <v>12</v>
      </c>
      <c r="W49" s="10">
        <v>199.13366160625301</v>
      </c>
      <c r="Y49" s="17">
        <v>2006</v>
      </c>
      <c r="Z49" s="17">
        <v>12</v>
      </c>
      <c r="AA49" s="17">
        <v>48818.902361341898</v>
      </c>
      <c r="AC49" s="10">
        <v>2001</v>
      </c>
      <c r="AD49" s="10">
        <v>12</v>
      </c>
      <c r="AE49" s="10">
        <v>199.12786650209799</v>
      </c>
      <c r="AG49" s="10">
        <v>2001</v>
      </c>
      <c r="AH49" s="10">
        <v>12</v>
      </c>
      <c r="AI49" s="10">
        <v>199.15705013755601</v>
      </c>
      <c r="AK49" s="10">
        <v>2001</v>
      </c>
      <c r="AL49" s="10">
        <v>12</v>
      </c>
      <c r="AM49" s="10">
        <v>199.12201085189</v>
      </c>
      <c r="AO49" s="10">
        <v>2001</v>
      </c>
      <c r="AP49" s="10">
        <v>12</v>
      </c>
      <c r="AQ49" s="10">
        <v>199.16236712135901</v>
      </c>
      <c r="AS49" s="10">
        <v>2001</v>
      </c>
      <c r="AT49" s="10">
        <v>12</v>
      </c>
      <c r="AU49" s="10">
        <v>199.112849084</v>
      </c>
      <c r="AW49" s="10">
        <v>2001</v>
      </c>
      <c r="AX49" s="10">
        <v>12</v>
      </c>
      <c r="AY49" s="10">
        <v>199.11232432134</v>
      </c>
    </row>
    <row r="50" spans="1:51" x14ac:dyDescent="0.25">
      <c r="A50" s="8">
        <v>2002</v>
      </c>
      <c r="B50" s="8">
        <v>1</v>
      </c>
      <c r="C50" s="10">
        <v>186.45954041228799</v>
      </c>
      <c r="E50" s="10">
        <v>2002</v>
      </c>
      <c r="F50" s="10">
        <v>1</v>
      </c>
      <c r="G50" s="10">
        <v>185.90406012021899</v>
      </c>
      <c r="I50" s="10">
        <v>2002</v>
      </c>
      <c r="J50" s="10">
        <v>1</v>
      </c>
      <c r="K50" s="10">
        <v>185.91030514512599</v>
      </c>
      <c r="M50" s="10">
        <v>2002</v>
      </c>
      <c r="N50" s="10">
        <v>1</v>
      </c>
      <c r="O50" s="10">
        <v>185.87605200652399</v>
      </c>
      <c r="Q50" s="10">
        <v>2002</v>
      </c>
      <c r="R50" s="10">
        <v>1</v>
      </c>
      <c r="S50" s="10">
        <v>185.84938679542699</v>
      </c>
      <c r="U50" s="10">
        <v>2002</v>
      </c>
      <c r="V50" s="10">
        <v>1</v>
      </c>
      <c r="W50" s="10">
        <v>185.79445557972099</v>
      </c>
      <c r="Y50" s="17">
        <v>2007</v>
      </c>
      <c r="Z50" s="17">
        <v>1</v>
      </c>
      <c r="AA50" s="17">
        <v>48886.101265068501</v>
      </c>
      <c r="AC50" s="10">
        <v>2002</v>
      </c>
      <c r="AD50" s="10">
        <v>1</v>
      </c>
      <c r="AE50" s="10">
        <v>185.79902643114801</v>
      </c>
      <c r="AG50" s="10">
        <v>2002</v>
      </c>
      <c r="AH50" s="10">
        <v>1</v>
      </c>
      <c r="AI50" s="10">
        <v>185.77266279261499</v>
      </c>
      <c r="AK50" s="10">
        <v>2002</v>
      </c>
      <c r="AL50" s="10">
        <v>1</v>
      </c>
      <c r="AM50" s="10">
        <v>185.801158600489</v>
      </c>
      <c r="AO50" s="10">
        <v>2002</v>
      </c>
      <c r="AP50" s="10">
        <v>1</v>
      </c>
      <c r="AQ50" s="10">
        <v>185.74413783344201</v>
      </c>
      <c r="AS50" s="10">
        <v>2002</v>
      </c>
      <c r="AT50" s="10">
        <v>1</v>
      </c>
      <c r="AU50" s="10">
        <v>185.738667648047</v>
      </c>
      <c r="AW50" s="10">
        <v>2002</v>
      </c>
      <c r="AX50" s="10">
        <v>1</v>
      </c>
      <c r="AY50" s="10">
        <v>185.73230708448801</v>
      </c>
    </row>
    <row r="51" spans="1:51" x14ac:dyDescent="0.25">
      <c r="A51" s="8">
        <v>2002</v>
      </c>
      <c r="B51" s="8">
        <v>2</v>
      </c>
      <c r="C51" s="10">
        <v>213.03418166414801</v>
      </c>
      <c r="E51" s="10">
        <v>2002</v>
      </c>
      <c r="F51" s="10">
        <v>2</v>
      </c>
      <c r="G51" s="10">
        <v>213.01112991935199</v>
      </c>
      <c r="I51" s="10">
        <v>2002</v>
      </c>
      <c r="J51" s="10">
        <v>2</v>
      </c>
      <c r="K51" s="10">
        <v>213.007732037361</v>
      </c>
      <c r="M51" s="10">
        <v>2002</v>
      </c>
      <c r="N51" s="10">
        <v>2</v>
      </c>
      <c r="O51" s="10">
        <v>213.01064431375599</v>
      </c>
      <c r="Q51" s="10">
        <v>2002</v>
      </c>
      <c r="R51" s="10">
        <v>2</v>
      </c>
      <c r="S51" s="10">
        <v>212.99476043689799</v>
      </c>
      <c r="U51" s="10">
        <v>2002</v>
      </c>
      <c r="V51" s="10">
        <v>2</v>
      </c>
      <c r="W51" s="10">
        <v>213.06568007395401</v>
      </c>
      <c r="Y51" s="17">
        <v>2007</v>
      </c>
      <c r="Z51" s="17">
        <v>2</v>
      </c>
      <c r="AA51" s="17">
        <v>49936.5499528621</v>
      </c>
      <c r="AC51" s="10">
        <v>2002</v>
      </c>
      <c r="AD51" s="10">
        <v>2</v>
      </c>
      <c r="AE51" s="10">
        <v>213.06677077576501</v>
      </c>
      <c r="AG51" s="10">
        <v>2002</v>
      </c>
      <c r="AH51" s="10">
        <v>2</v>
      </c>
      <c r="AI51" s="10">
        <v>213.06960448841099</v>
      </c>
      <c r="AK51" s="10">
        <v>2002</v>
      </c>
      <c r="AL51" s="10">
        <v>2</v>
      </c>
      <c r="AM51" s="10">
        <v>213.06940315606499</v>
      </c>
      <c r="AO51" s="10">
        <v>2002</v>
      </c>
      <c r="AP51" s="10">
        <v>2</v>
      </c>
      <c r="AQ51" s="10">
        <v>213.056418641363</v>
      </c>
      <c r="AS51" s="10">
        <v>2002</v>
      </c>
      <c r="AT51" s="10">
        <v>2</v>
      </c>
      <c r="AU51" s="10">
        <v>213.35942085490899</v>
      </c>
      <c r="AW51" s="10">
        <v>2002</v>
      </c>
      <c r="AX51" s="10">
        <v>2</v>
      </c>
      <c r="AY51" s="10">
        <v>213.40923861673801</v>
      </c>
    </row>
    <row r="52" spans="1:51" x14ac:dyDescent="0.25">
      <c r="A52" s="8">
        <v>2002</v>
      </c>
      <c r="B52" s="8">
        <v>3</v>
      </c>
      <c r="C52" s="10">
        <v>217.757140984849</v>
      </c>
      <c r="E52" s="10">
        <v>2002</v>
      </c>
      <c r="F52" s="10">
        <v>3</v>
      </c>
      <c r="G52" s="10">
        <v>217.03236319459899</v>
      </c>
      <c r="I52" s="10">
        <v>2002</v>
      </c>
      <c r="J52" s="10">
        <v>3</v>
      </c>
      <c r="K52" s="10">
        <v>217.011530146746</v>
      </c>
      <c r="M52" s="10">
        <v>2002</v>
      </c>
      <c r="N52" s="10">
        <v>3</v>
      </c>
      <c r="O52" s="10">
        <v>217.05413038894</v>
      </c>
      <c r="Q52" s="10">
        <v>2002</v>
      </c>
      <c r="R52" s="10">
        <v>3</v>
      </c>
      <c r="S52" s="10">
        <v>216.982934236337</v>
      </c>
      <c r="U52" s="10">
        <v>2002</v>
      </c>
      <c r="V52" s="10">
        <v>3</v>
      </c>
      <c r="W52" s="10">
        <v>216.83610929139999</v>
      </c>
      <c r="Y52" s="17">
        <v>2007</v>
      </c>
      <c r="Z52" s="17">
        <v>3</v>
      </c>
      <c r="AA52" s="17">
        <v>51058.463770697097</v>
      </c>
      <c r="AC52" s="10">
        <v>2002</v>
      </c>
      <c r="AD52" s="10">
        <v>3</v>
      </c>
      <c r="AE52" s="10">
        <v>216.84081655175899</v>
      </c>
      <c r="AG52" s="10">
        <v>2002</v>
      </c>
      <c r="AH52" s="10">
        <v>3</v>
      </c>
      <c r="AI52" s="10">
        <v>216.87581865204999</v>
      </c>
      <c r="AK52" s="10">
        <v>2002</v>
      </c>
      <c r="AL52" s="10">
        <v>3</v>
      </c>
      <c r="AM52" s="10">
        <v>216.841051029543</v>
      </c>
      <c r="AO52" s="10">
        <v>2002</v>
      </c>
      <c r="AP52" s="10">
        <v>3</v>
      </c>
      <c r="AQ52" s="10">
        <v>216.88688667620499</v>
      </c>
      <c r="AS52" s="10">
        <v>2002</v>
      </c>
      <c r="AT52" s="10">
        <v>3</v>
      </c>
      <c r="AU52" s="10">
        <v>216.83949592535399</v>
      </c>
      <c r="AW52" s="10">
        <v>2002</v>
      </c>
      <c r="AX52" s="10">
        <v>3</v>
      </c>
      <c r="AY52" s="10">
        <v>216.84158679540101</v>
      </c>
    </row>
    <row r="53" spans="1:51" x14ac:dyDescent="0.25">
      <c r="A53" s="8">
        <v>2002</v>
      </c>
      <c r="B53" s="8">
        <v>4</v>
      </c>
      <c r="C53" s="10">
        <v>220.09640826326401</v>
      </c>
      <c r="E53" s="10">
        <v>2002</v>
      </c>
      <c r="F53" s="10">
        <v>4</v>
      </c>
      <c r="G53" s="10">
        <v>220.78802140509001</v>
      </c>
      <c r="I53" s="10">
        <v>2002</v>
      </c>
      <c r="J53" s="10">
        <v>4</v>
      </c>
      <c r="K53" s="10">
        <v>220.81624741376299</v>
      </c>
      <c r="M53" s="10">
        <v>2002</v>
      </c>
      <c r="N53" s="10">
        <v>4</v>
      </c>
      <c r="O53" s="10">
        <v>220.74043273519101</v>
      </c>
      <c r="Q53" s="10">
        <v>2002</v>
      </c>
      <c r="R53" s="10">
        <v>4</v>
      </c>
      <c r="S53" s="10">
        <v>220.771491444991</v>
      </c>
      <c r="U53" s="10">
        <v>2002</v>
      </c>
      <c r="V53" s="10">
        <v>4</v>
      </c>
      <c r="W53" s="10">
        <v>220.865203464508</v>
      </c>
      <c r="Y53" s="17">
        <v>2007</v>
      </c>
      <c r="Z53" s="17">
        <v>4</v>
      </c>
      <c r="AA53" s="17">
        <v>52037.349022974602</v>
      </c>
      <c r="AC53" s="10">
        <v>2002</v>
      </c>
      <c r="AD53" s="10">
        <v>4</v>
      </c>
      <c r="AE53" s="10">
        <v>220.86885061950801</v>
      </c>
      <c r="AG53" s="10">
        <v>2002</v>
      </c>
      <c r="AH53" s="10">
        <v>4</v>
      </c>
      <c r="AI53" s="10">
        <v>220.81715537434999</v>
      </c>
      <c r="AK53" s="10">
        <v>2002</v>
      </c>
      <c r="AL53" s="10">
        <v>4</v>
      </c>
      <c r="AM53" s="10">
        <v>220.87591510687099</v>
      </c>
      <c r="AO53" s="10">
        <v>2002</v>
      </c>
      <c r="AP53" s="10">
        <v>4</v>
      </c>
      <c r="AQ53" s="10">
        <v>220.88786129882101</v>
      </c>
      <c r="AS53" s="10">
        <v>2002</v>
      </c>
      <c r="AT53" s="10">
        <v>4</v>
      </c>
      <c r="AU53" s="10">
        <v>221.00752939027399</v>
      </c>
      <c r="AW53" s="10">
        <v>2002</v>
      </c>
      <c r="AX53" s="10">
        <v>4</v>
      </c>
      <c r="AY53" s="10">
        <v>221.001959827788</v>
      </c>
    </row>
    <row r="54" spans="1:51" x14ac:dyDescent="0.25">
      <c r="A54" s="8">
        <v>2002</v>
      </c>
      <c r="B54" s="8">
        <v>5</v>
      </c>
      <c r="C54" s="10">
        <v>218.48189837661101</v>
      </c>
      <c r="E54" s="10">
        <v>2002</v>
      </c>
      <c r="F54" s="10">
        <v>5</v>
      </c>
      <c r="G54" s="10">
        <v>217.651433564754</v>
      </c>
      <c r="I54" s="10">
        <v>2002</v>
      </c>
      <c r="J54" s="10">
        <v>5</v>
      </c>
      <c r="K54" s="10">
        <v>217.655732133002</v>
      </c>
      <c r="M54" s="10">
        <v>2002</v>
      </c>
      <c r="N54" s="10">
        <v>5</v>
      </c>
      <c r="O54" s="10">
        <v>217.638038227549</v>
      </c>
      <c r="Q54" s="10">
        <v>2002</v>
      </c>
      <c r="R54" s="10">
        <v>5</v>
      </c>
      <c r="S54" s="10">
        <v>217.627656919522</v>
      </c>
      <c r="U54" s="10">
        <v>2002</v>
      </c>
      <c r="V54" s="10">
        <v>5</v>
      </c>
      <c r="W54" s="10">
        <v>217.610626654285</v>
      </c>
      <c r="Y54" s="17">
        <v>2007</v>
      </c>
      <c r="Z54" s="17">
        <v>5</v>
      </c>
      <c r="AA54" s="17">
        <v>52852.622808679</v>
      </c>
      <c r="AC54" s="10">
        <v>2002</v>
      </c>
      <c r="AD54" s="10">
        <v>5</v>
      </c>
      <c r="AE54" s="10">
        <v>217.60918303839401</v>
      </c>
      <c r="AG54" s="10">
        <v>2002</v>
      </c>
      <c r="AH54" s="10">
        <v>5</v>
      </c>
      <c r="AI54" s="10">
        <v>217.59896254873601</v>
      </c>
      <c r="AK54" s="10">
        <v>2002</v>
      </c>
      <c r="AL54" s="10">
        <v>5</v>
      </c>
      <c r="AM54" s="10">
        <v>217.61388786925599</v>
      </c>
      <c r="AO54" s="10">
        <v>2002</v>
      </c>
      <c r="AP54" s="10">
        <v>5</v>
      </c>
      <c r="AQ54" s="10">
        <v>217.59781668426899</v>
      </c>
      <c r="AS54" s="10">
        <v>2002</v>
      </c>
      <c r="AT54" s="10">
        <v>5</v>
      </c>
      <c r="AU54" s="10">
        <v>217.546151850119</v>
      </c>
      <c r="AW54" s="10">
        <v>2002</v>
      </c>
      <c r="AX54" s="10">
        <v>5</v>
      </c>
      <c r="AY54" s="10">
        <v>217.540718809445</v>
      </c>
    </row>
    <row r="55" spans="1:51" x14ac:dyDescent="0.25">
      <c r="A55" s="8">
        <v>2002</v>
      </c>
      <c r="B55" s="8">
        <v>6</v>
      </c>
      <c r="C55" s="10">
        <v>241.325195691434</v>
      </c>
      <c r="E55" s="10">
        <v>2002</v>
      </c>
      <c r="F55" s="10">
        <v>6</v>
      </c>
      <c r="G55" s="10">
        <v>242.37209674982199</v>
      </c>
      <c r="I55" s="10">
        <v>2002</v>
      </c>
      <c r="J55" s="10">
        <v>6</v>
      </c>
      <c r="K55" s="10">
        <v>242.36098886324601</v>
      </c>
      <c r="M55" s="10">
        <v>2002</v>
      </c>
      <c r="N55" s="10">
        <v>6</v>
      </c>
      <c r="O55" s="10">
        <v>242.427429080189</v>
      </c>
      <c r="Q55" s="10">
        <v>2002</v>
      </c>
      <c r="R55" s="10">
        <v>6</v>
      </c>
      <c r="S55" s="10">
        <v>242.495292554255</v>
      </c>
      <c r="U55" s="10">
        <v>2002</v>
      </c>
      <c r="V55" s="10">
        <v>6</v>
      </c>
      <c r="W55" s="10">
        <v>242.59735438674701</v>
      </c>
      <c r="Y55" s="17">
        <v>2007</v>
      </c>
      <c r="Z55" s="17">
        <v>6</v>
      </c>
      <c r="AA55" s="17">
        <v>53590.310496182603</v>
      </c>
      <c r="AC55" s="10">
        <v>2002</v>
      </c>
      <c r="AD55" s="10">
        <v>6</v>
      </c>
      <c r="AE55" s="10">
        <v>242.58726243382799</v>
      </c>
      <c r="AG55" s="10">
        <v>2002</v>
      </c>
      <c r="AH55" s="10">
        <v>6</v>
      </c>
      <c r="AI55" s="10">
        <v>242.63446407044299</v>
      </c>
      <c r="AK55" s="10">
        <v>2002</v>
      </c>
      <c r="AL55" s="10">
        <v>6</v>
      </c>
      <c r="AM55" s="10">
        <v>242.579907342106</v>
      </c>
      <c r="AO55" s="10">
        <v>2002</v>
      </c>
      <c r="AP55" s="10">
        <v>6</v>
      </c>
      <c r="AQ55" s="10">
        <v>242.64969445507799</v>
      </c>
      <c r="AS55" s="10">
        <v>2002</v>
      </c>
      <c r="AT55" s="10">
        <v>6</v>
      </c>
      <c r="AU55" s="10">
        <v>242.57584433319801</v>
      </c>
      <c r="AW55" s="10">
        <v>2002</v>
      </c>
      <c r="AX55" s="10">
        <v>6</v>
      </c>
      <c r="AY55" s="10">
        <v>242.57771279137</v>
      </c>
    </row>
    <row r="56" spans="1:51" x14ac:dyDescent="0.25">
      <c r="A56" s="8">
        <v>2002</v>
      </c>
      <c r="B56" s="8">
        <v>7</v>
      </c>
      <c r="C56" s="10">
        <v>219.79797853085401</v>
      </c>
      <c r="E56" s="10">
        <v>2002</v>
      </c>
      <c r="F56" s="10">
        <v>7</v>
      </c>
      <c r="G56" s="10">
        <v>219.370312280852</v>
      </c>
      <c r="I56" s="10">
        <v>2002</v>
      </c>
      <c r="J56" s="10">
        <v>7</v>
      </c>
      <c r="K56" s="10">
        <v>219.37569325575001</v>
      </c>
      <c r="M56" s="10">
        <v>2002</v>
      </c>
      <c r="N56" s="10">
        <v>7</v>
      </c>
      <c r="O56" s="10">
        <v>219.34203677244099</v>
      </c>
      <c r="Q56" s="10">
        <v>2002</v>
      </c>
      <c r="R56" s="10">
        <v>7</v>
      </c>
      <c r="S56" s="10">
        <v>219.309842916452</v>
      </c>
      <c r="U56" s="10">
        <v>2002</v>
      </c>
      <c r="V56" s="10">
        <v>7</v>
      </c>
      <c r="W56" s="10">
        <v>219.25801440250601</v>
      </c>
      <c r="Y56" s="17">
        <v>2007</v>
      </c>
      <c r="Z56" s="17">
        <v>7</v>
      </c>
      <c r="AA56" s="17">
        <v>54756.1353239788</v>
      </c>
      <c r="AC56" s="10">
        <v>2002</v>
      </c>
      <c r="AD56" s="10">
        <v>7</v>
      </c>
      <c r="AE56" s="10">
        <v>219.262250476931</v>
      </c>
      <c r="AG56" s="10">
        <v>2002</v>
      </c>
      <c r="AH56" s="10">
        <v>7</v>
      </c>
      <c r="AI56" s="10">
        <v>219.23749606718599</v>
      </c>
      <c r="AK56" s="10">
        <v>2002</v>
      </c>
      <c r="AL56" s="10">
        <v>7</v>
      </c>
      <c r="AM56" s="10">
        <v>219.26556093271401</v>
      </c>
      <c r="AO56" s="10">
        <v>2002</v>
      </c>
      <c r="AP56" s="10">
        <v>7</v>
      </c>
      <c r="AQ56" s="10">
        <v>219.21458396352301</v>
      </c>
      <c r="AS56" s="10">
        <v>2002</v>
      </c>
      <c r="AT56" s="10">
        <v>7</v>
      </c>
      <c r="AU56" s="10">
        <v>219.237377655416</v>
      </c>
      <c r="AW56" s="10">
        <v>2002</v>
      </c>
      <c r="AX56" s="10">
        <v>7</v>
      </c>
      <c r="AY56" s="10">
        <v>219.23514496420799</v>
      </c>
    </row>
    <row r="57" spans="1:51" x14ac:dyDescent="0.25">
      <c r="A57" s="8">
        <v>2002</v>
      </c>
      <c r="B57" s="8">
        <v>8</v>
      </c>
      <c r="C57" s="10">
        <v>203.700375096426</v>
      </c>
      <c r="E57" s="10">
        <v>2002</v>
      </c>
      <c r="F57" s="10">
        <v>8</v>
      </c>
      <c r="G57" s="10">
        <v>203.89805318322701</v>
      </c>
      <c r="I57" s="10">
        <v>2002</v>
      </c>
      <c r="J57" s="10">
        <v>8</v>
      </c>
      <c r="K57" s="10">
        <v>203.893572082958</v>
      </c>
      <c r="M57" s="10">
        <v>2002</v>
      </c>
      <c r="N57" s="10">
        <v>8</v>
      </c>
      <c r="O57" s="10">
        <v>203.91051214254799</v>
      </c>
      <c r="Q57" s="10">
        <v>2002</v>
      </c>
      <c r="R57" s="10">
        <v>8</v>
      </c>
      <c r="S57" s="10">
        <v>203.918866898218</v>
      </c>
      <c r="U57" s="10">
        <v>2002</v>
      </c>
      <c r="V57" s="10">
        <v>8</v>
      </c>
      <c r="W57" s="10">
        <v>203.93494098355799</v>
      </c>
      <c r="Y57" s="17">
        <v>2007</v>
      </c>
      <c r="Z57" s="17">
        <v>8</v>
      </c>
      <c r="AA57" s="17">
        <v>55619.608018295599</v>
      </c>
      <c r="AC57" s="10">
        <v>2002</v>
      </c>
      <c r="AD57" s="10">
        <v>8</v>
      </c>
      <c r="AE57" s="10">
        <v>203.93267513876401</v>
      </c>
      <c r="AG57" s="10">
        <v>2002</v>
      </c>
      <c r="AH57" s="10">
        <v>8</v>
      </c>
      <c r="AI57" s="10">
        <v>203.944577010578</v>
      </c>
      <c r="AK57" s="10">
        <v>2002</v>
      </c>
      <c r="AL57" s="10">
        <v>8</v>
      </c>
      <c r="AM57" s="10">
        <v>203.93038357633799</v>
      </c>
      <c r="AO57" s="10">
        <v>2002</v>
      </c>
      <c r="AP57" s="10">
        <v>8</v>
      </c>
      <c r="AQ57" s="10">
        <v>203.94254784466301</v>
      </c>
      <c r="AS57" s="10">
        <v>2002</v>
      </c>
      <c r="AT57" s="10">
        <v>8</v>
      </c>
      <c r="AU57" s="10">
        <v>203.942288475498</v>
      </c>
      <c r="AW57" s="10">
        <v>2002</v>
      </c>
      <c r="AX57" s="10">
        <v>8</v>
      </c>
      <c r="AY57" s="10">
        <v>203.94650076236201</v>
      </c>
    </row>
    <row r="58" spans="1:51" x14ac:dyDescent="0.25">
      <c r="A58" s="8">
        <v>2002</v>
      </c>
      <c r="B58" s="8">
        <v>9</v>
      </c>
      <c r="C58" s="10">
        <v>202.70603990305099</v>
      </c>
      <c r="E58" s="10">
        <v>2002</v>
      </c>
      <c r="F58" s="10">
        <v>9</v>
      </c>
      <c r="G58" s="10">
        <v>202.80063429969101</v>
      </c>
      <c r="I58" s="10">
        <v>2002</v>
      </c>
      <c r="J58" s="10">
        <v>9</v>
      </c>
      <c r="K58" s="10">
        <v>202.79894345964101</v>
      </c>
      <c r="M58" s="10">
        <v>2002</v>
      </c>
      <c r="N58" s="10">
        <v>9</v>
      </c>
      <c r="O58" s="10">
        <v>202.80725421902801</v>
      </c>
      <c r="Q58" s="10">
        <v>2002</v>
      </c>
      <c r="R58" s="10">
        <v>9</v>
      </c>
      <c r="S58" s="10">
        <v>202.81595217506501</v>
      </c>
      <c r="U58" s="10">
        <v>2002</v>
      </c>
      <c r="V58" s="10">
        <v>9</v>
      </c>
      <c r="W58" s="10">
        <v>202.82574499771499</v>
      </c>
      <c r="Y58" s="17">
        <v>2007</v>
      </c>
      <c r="Z58" s="17">
        <v>9</v>
      </c>
      <c r="AA58" s="17">
        <v>56361.993037756998</v>
      </c>
      <c r="AC58" s="10">
        <v>2002</v>
      </c>
      <c r="AD58" s="10">
        <v>9</v>
      </c>
      <c r="AE58" s="10">
        <v>202.824490936161</v>
      </c>
      <c r="AG58" s="10">
        <v>2002</v>
      </c>
      <c r="AH58" s="10">
        <v>9</v>
      </c>
      <c r="AI58" s="10">
        <v>202.82905636075799</v>
      </c>
      <c r="AK58" s="10">
        <v>2002</v>
      </c>
      <c r="AL58" s="10">
        <v>9</v>
      </c>
      <c r="AM58" s="10">
        <v>202.82247457656101</v>
      </c>
      <c r="AO58" s="10">
        <v>2002</v>
      </c>
      <c r="AP58" s="10">
        <v>9</v>
      </c>
      <c r="AQ58" s="10">
        <v>202.824275656922</v>
      </c>
      <c r="AS58" s="10">
        <v>2002</v>
      </c>
      <c r="AT58" s="10">
        <v>9</v>
      </c>
      <c r="AU58" s="10">
        <v>202.81152423258399</v>
      </c>
      <c r="AW58" s="10">
        <v>2002</v>
      </c>
      <c r="AX58" s="10">
        <v>9</v>
      </c>
      <c r="AY58" s="10">
        <v>202.81048902411899</v>
      </c>
    </row>
    <row r="59" spans="1:51" x14ac:dyDescent="0.25">
      <c r="A59" s="8">
        <v>2002</v>
      </c>
      <c r="B59" s="8">
        <v>10</v>
      </c>
      <c r="C59" s="10">
        <v>197.82188684233199</v>
      </c>
      <c r="E59" s="10">
        <v>2002</v>
      </c>
      <c r="F59" s="10">
        <v>10</v>
      </c>
      <c r="G59" s="10">
        <v>197.70129527282799</v>
      </c>
      <c r="I59" s="10">
        <v>2002</v>
      </c>
      <c r="J59" s="10">
        <v>10</v>
      </c>
      <c r="K59" s="10">
        <v>197.70168605556901</v>
      </c>
      <c r="M59" s="10">
        <v>2002</v>
      </c>
      <c r="N59" s="10">
        <v>10</v>
      </c>
      <c r="O59" s="10">
        <v>197.69271819377599</v>
      </c>
      <c r="Q59" s="10">
        <v>2002</v>
      </c>
      <c r="R59" s="10">
        <v>10</v>
      </c>
      <c r="S59" s="10">
        <v>197.67862199707901</v>
      </c>
      <c r="U59" s="10">
        <v>2002</v>
      </c>
      <c r="V59" s="10">
        <v>10</v>
      </c>
      <c r="W59" s="10">
        <v>197.658932861636</v>
      </c>
      <c r="Y59" s="17">
        <v>2007</v>
      </c>
      <c r="Z59" s="17">
        <v>10</v>
      </c>
      <c r="AA59" s="17">
        <v>56855.449586541697</v>
      </c>
      <c r="AC59" s="10">
        <v>2002</v>
      </c>
      <c r="AD59" s="10">
        <v>10</v>
      </c>
      <c r="AE59" s="10">
        <v>197.66067330311901</v>
      </c>
      <c r="AG59" s="10">
        <v>2002</v>
      </c>
      <c r="AH59" s="10">
        <v>10</v>
      </c>
      <c r="AI59" s="10">
        <v>197.652475864221</v>
      </c>
      <c r="AK59" s="10">
        <v>2002</v>
      </c>
      <c r="AL59" s="10">
        <v>10</v>
      </c>
      <c r="AM59" s="10">
        <v>197.660626540735</v>
      </c>
      <c r="AO59" s="10">
        <v>2002</v>
      </c>
      <c r="AP59" s="10">
        <v>10</v>
      </c>
      <c r="AQ59" s="10">
        <v>197.63743827262101</v>
      </c>
      <c r="AS59" s="10">
        <v>2002</v>
      </c>
      <c r="AT59" s="10">
        <v>10</v>
      </c>
      <c r="AU59" s="10">
        <v>197.662558956634</v>
      </c>
      <c r="AW59" s="10">
        <v>2002</v>
      </c>
      <c r="AX59" s="10">
        <v>10</v>
      </c>
      <c r="AY59" s="10">
        <v>197.664814898586</v>
      </c>
    </row>
    <row r="60" spans="1:51" x14ac:dyDescent="0.25">
      <c r="A60" s="8">
        <v>2002</v>
      </c>
      <c r="B60" s="8">
        <v>11</v>
      </c>
      <c r="C60" s="10">
        <v>199.62845375971301</v>
      </c>
      <c r="E60" s="10">
        <v>2002</v>
      </c>
      <c r="F60" s="10">
        <v>11</v>
      </c>
      <c r="G60" s="10">
        <v>199.927059546663</v>
      </c>
      <c r="I60" s="10">
        <v>2002</v>
      </c>
      <c r="J60" s="10">
        <v>11</v>
      </c>
      <c r="K60" s="10">
        <v>199.92357988356099</v>
      </c>
      <c r="M60" s="10">
        <v>2002</v>
      </c>
      <c r="N60" s="10">
        <v>11</v>
      </c>
      <c r="O60" s="10">
        <v>199.94187316355001</v>
      </c>
      <c r="Q60" s="10">
        <v>2002</v>
      </c>
      <c r="R60" s="10">
        <v>11</v>
      </c>
      <c r="S60" s="10">
        <v>199.95986445923899</v>
      </c>
      <c r="U60" s="10">
        <v>2002</v>
      </c>
      <c r="V60" s="10">
        <v>11</v>
      </c>
      <c r="W60" s="10">
        <v>199.98216744622599</v>
      </c>
      <c r="Y60" s="17">
        <v>2007</v>
      </c>
      <c r="Z60" s="17">
        <v>11</v>
      </c>
      <c r="AA60" s="17">
        <v>57346.900323300797</v>
      </c>
      <c r="AC60" s="10">
        <v>2002</v>
      </c>
      <c r="AD60" s="10">
        <v>11</v>
      </c>
      <c r="AE60" s="10">
        <v>199.97995268806</v>
      </c>
      <c r="AG60" s="10">
        <v>2002</v>
      </c>
      <c r="AH60" s="10">
        <v>11</v>
      </c>
      <c r="AI60" s="10">
        <v>199.99101916251499</v>
      </c>
      <c r="AK60" s="10">
        <v>2002</v>
      </c>
      <c r="AL60" s="10">
        <v>11</v>
      </c>
      <c r="AM60" s="10">
        <v>199.976261816744</v>
      </c>
      <c r="AO60" s="10">
        <v>2002</v>
      </c>
      <c r="AP60" s="10">
        <v>11</v>
      </c>
      <c r="AQ60" s="10">
        <v>199.98532467487399</v>
      </c>
      <c r="AS60" s="10">
        <v>2002</v>
      </c>
      <c r="AT60" s="10">
        <v>11</v>
      </c>
      <c r="AU60" s="10">
        <v>199.962510936987</v>
      </c>
      <c r="AW60" s="10">
        <v>2002</v>
      </c>
      <c r="AX60" s="10">
        <v>11</v>
      </c>
      <c r="AY60" s="10">
        <v>199.961648555805</v>
      </c>
    </row>
    <row r="61" spans="1:51" x14ac:dyDescent="0.25">
      <c r="A61" s="8">
        <v>2002</v>
      </c>
      <c r="B61" s="8">
        <v>12</v>
      </c>
      <c r="C61" s="10">
        <v>201.438295650697</v>
      </c>
      <c r="E61" s="10">
        <v>2002</v>
      </c>
      <c r="F61" s="10">
        <v>12</v>
      </c>
      <c r="G61" s="10">
        <v>201.56395145786399</v>
      </c>
      <c r="I61" s="10">
        <v>2002</v>
      </c>
      <c r="J61" s="10">
        <v>12</v>
      </c>
      <c r="K61" s="10">
        <v>201.56254142810999</v>
      </c>
      <c r="M61" s="10">
        <v>2002</v>
      </c>
      <c r="N61" s="10">
        <v>12</v>
      </c>
      <c r="O61" s="10">
        <v>201.56871938404299</v>
      </c>
      <c r="Q61" s="10">
        <v>2002</v>
      </c>
      <c r="R61" s="10">
        <v>12</v>
      </c>
      <c r="S61" s="10">
        <v>201.57513797527099</v>
      </c>
      <c r="U61" s="10">
        <v>2002</v>
      </c>
      <c r="V61" s="10">
        <v>12</v>
      </c>
      <c r="W61" s="10">
        <v>201.577985659755</v>
      </c>
      <c r="Y61" s="17">
        <v>2007</v>
      </c>
      <c r="Z61" s="17">
        <v>12</v>
      </c>
      <c r="AA61" s="17">
        <v>57463.675438243197</v>
      </c>
      <c r="AC61" s="10">
        <v>2002</v>
      </c>
      <c r="AD61" s="10">
        <v>12</v>
      </c>
      <c r="AE61" s="10">
        <v>201.577864498628</v>
      </c>
      <c r="AG61" s="10">
        <v>2002</v>
      </c>
      <c r="AH61" s="10">
        <v>12</v>
      </c>
      <c r="AI61" s="10">
        <v>201.580067853684</v>
      </c>
      <c r="AK61" s="10">
        <v>2002</v>
      </c>
      <c r="AL61" s="10">
        <v>12</v>
      </c>
      <c r="AM61" s="10">
        <v>201.57533077072301</v>
      </c>
      <c r="AO61" s="10">
        <v>2002</v>
      </c>
      <c r="AP61" s="10">
        <v>12</v>
      </c>
      <c r="AQ61" s="10">
        <v>201.567365157355</v>
      </c>
      <c r="AS61" s="10">
        <v>2002</v>
      </c>
      <c r="AT61" s="10">
        <v>12</v>
      </c>
      <c r="AU61" s="10">
        <v>201.55617854161599</v>
      </c>
      <c r="AW61" s="10">
        <v>2002</v>
      </c>
      <c r="AX61" s="10">
        <v>12</v>
      </c>
      <c r="AY61" s="10">
        <v>201.554483369515</v>
      </c>
    </row>
    <row r="62" spans="1:51" x14ac:dyDescent="0.25">
      <c r="A62" s="8">
        <v>2003</v>
      </c>
      <c r="B62" s="8">
        <v>1</v>
      </c>
      <c r="C62" s="10">
        <v>204.092239433781</v>
      </c>
      <c r="E62" s="10">
        <v>2003</v>
      </c>
      <c r="F62" s="10">
        <v>1</v>
      </c>
      <c r="G62" s="10">
        <v>203.636711781255</v>
      </c>
      <c r="I62" s="10">
        <v>2003</v>
      </c>
      <c r="J62" s="10">
        <v>1</v>
      </c>
      <c r="K62" s="10">
        <v>203.64222516617301</v>
      </c>
      <c r="M62" s="10">
        <v>2003</v>
      </c>
      <c r="N62" s="10">
        <v>1</v>
      </c>
      <c r="O62" s="10">
        <v>203.61090387950401</v>
      </c>
      <c r="Q62" s="10">
        <v>2003</v>
      </c>
      <c r="R62" s="10">
        <v>1</v>
      </c>
      <c r="S62" s="10">
        <v>203.58568275406299</v>
      </c>
      <c r="U62" s="10">
        <v>2003</v>
      </c>
      <c r="V62" s="10">
        <v>1</v>
      </c>
      <c r="W62" s="10">
        <v>203.53266036310899</v>
      </c>
      <c r="Y62" s="17">
        <v>2008</v>
      </c>
      <c r="Z62" s="17">
        <v>1</v>
      </c>
      <c r="AA62" s="17">
        <v>58390.659511687198</v>
      </c>
      <c r="AC62" s="10">
        <v>2003</v>
      </c>
      <c r="AD62" s="10">
        <v>1</v>
      </c>
      <c r="AE62" s="10">
        <v>203.53753109815</v>
      </c>
      <c r="AG62" s="10">
        <v>2003</v>
      </c>
      <c r="AH62" s="10">
        <v>1</v>
      </c>
      <c r="AI62" s="10">
        <v>203.51268351902701</v>
      </c>
      <c r="AK62" s="10">
        <v>2003</v>
      </c>
      <c r="AL62" s="10">
        <v>1</v>
      </c>
      <c r="AM62" s="10">
        <v>203.538827633951</v>
      </c>
      <c r="AO62" s="10">
        <v>2003</v>
      </c>
      <c r="AP62" s="10">
        <v>1</v>
      </c>
      <c r="AQ62" s="10">
        <v>203.480232740106</v>
      </c>
      <c r="AS62" s="10">
        <v>2003</v>
      </c>
      <c r="AT62" s="10">
        <v>1</v>
      </c>
      <c r="AU62" s="10">
        <v>203.48105205837101</v>
      </c>
      <c r="AW62" s="10">
        <v>2003</v>
      </c>
      <c r="AX62" s="10">
        <v>1</v>
      </c>
      <c r="AY62" s="10">
        <v>203.47567365589299</v>
      </c>
    </row>
    <row r="63" spans="1:51" x14ac:dyDescent="0.25">
      <c r="A63" s="8">
        <v>2003</v>
      </c>
      <c r="B63" s="8">
        <v>2</v>
      </c>
      <c r="C63" s="10">
        <v>204.747277186199</v>
      </c>
      <c r="E63" s="10">
        <v>2003</v>
      </c>
      <c r="F63" s="10">
        <v>2</v>
      </c>
      <c r="G63" s="10">
        <v>204.788474411712</v>
      </c>
      <c r="I63" s="10">
        <v>2003</v>
      </c>
      <c r="J63" s="10">
        <v>2</v>
      </c>
      <c r="K63" s="10">
        <v>204.78483168169399</v>
      </c>
      <c r="M63" s="10">
        <v>2003</v>
      </c>
      <c r="N63" s="10">
        <v>2</v>
      </c>
      <c r="O63" s="10">
        <v>204.788183643504</v>
      </c>
      <c r="Q63" s="10">
        <v>2003</v>
      </c>
      <c r="R63" s="10">
        <v>2</v>
      </c>
      <c r="S63" s="10">
        <v>204.771736361314</v>
      </c>
      <c r="U63" s="10">
        <v>2003</v>
      </c>
      <c r="V63" s="10">
        <v>2</v>
      </c>
      <c r="W63" s="10">
        <v>204.83173607900599</v>
      </c>
      <c r="Y63" s="17">
        <v>2008</v>
      </c>
      <c r="Z63" s="17">
        <v>2</v>
      </c>
      <c r="AA63" s="17">
        <v>59032.488840856102</v>
      </c>
      <c r="AC63" s="10">
        <v>2003</v>
      </c>
      <c r="AD63" s="10">
        <v>2</v>
      </c>
      <c r="AE63" s="10">
        <v>204.83363729288899</v>
      </c>
      <c r="AG63" s="10">
        <v>2003</v>
      </c>
      <c r="AH63" s="10">
        <v>2</v>
      </c>
      <c r="AI63" s="10">
        <v>204.836409088213</v>
      </c>
      <c r="AK63" s="10">
        <v>2003</v>
      </c>
      <c r="AL63" s="10">
        <v>2</v>
      </c>
      <c r="AM63" s="10">
        <v>204.835647787677</v>
      </c>
      <c r="AO63" s="10">
        <v>2003</v>
      </c>
      <c r="AP63" s="10">
        <v>2</v>
      </c>
      <c r="AQ63" s="10">
        <v>204.81574217946999</v>
      </c>
      <c r="AS63" s="10">
        <v>2003</v>
      </c>
      <c r="AT63" s="10">
        <v>2</v>
      </c>
      <c r="AU63" s="10">
        <v>205.101224115143</v>
      </c>
      <c r="AW63" s="10">
        <v>2003</v>
      </c>
      <c r="AX63" s="10">
        <v>2</v>
      </c>
      <c r="AY63" s="10">
        <v>205.14724041633301</v>
      </c>
    </row>
    <row r="64" spans="1:51" x14ac:dyDescent="0.25">
      <c r="A64" s="8">
        <v>2003</v>
      </c>
      <c r="B64" s="8">
        <v>3</v>
      </c>
      <c r="C64" s="10">
        <v>206.179533346874</v>
      </c>
      <c r="E64" s="10">
        <v>2003</v>
      </c>
      <c r="F64" s="10">
        <v>3</v>
      </c>
      <c r="G64" s="10">
        <v>207.597022463493</v>
      </c>
      <c r="I64" s="10">
        <v>2003</v>
      </c>
      <c r="J64" s="10">
        <v>3</v>
      </c>
      <c r="K64" s="10">
        <v>207.59612280611299</v>
      </c>
      <c r="M64" s="10">
        <v>2003</v>
      </c>
      <c r="N64" s="10">
        <v>3</v>
      </c>
      <c r="O64" s="10">
        <v>207.651931272826</v>
      </c>
      <c r="Q64" s="10">
        <v>2003</v>
      </c>
      <c r="R64" s="10">
        <v>3</v>
      </c>
      <c r="S64" s="10">
        <v>207.780623259549</v>
      </c>
      <c r="U64" s="10">
        <v>2003</v>
      </c>
      <c r="V64" s="10">
        <v>3</v>
      </c>
      <c r="W64" s="10">
        <v>207.98308324388799</v>
      </c>
      <c r="Y64" s="17">
        <v>2008</v>
      </c>
      <c r="Z64" s="17">
        <v>3</v>
      </c>
      <c r="AA64" s="17">
        <v>58695.205840947703</v>
      </c>
      <c r="AC64" s="10">
        <v>2003</v>
      </c>
      <c r="AD64" s="10">
        <v>3</v>
      </c>
      <c r="AE64" s="10">
        <v>207.970348022732</v>
      </c>
      <c r="AG64" s="10">
        <v>2003</v>
      </c>
      <c r="AH64" s="10">
        <v>3</v>
      </c>
      <c r="AI64" s="10">
        <v>208.00731395448099</v>
      </c>
      <c r="AK64" s="10">
        <v>2003</v>
      </c>
      <c r="AL64" s="10">
        <v>3</v>
      </c>
      <c r="AM64" s="10">
        <v>207.96198915407001</v>
      </c>
      <c r="AO64" s="10">
        <v>2003</v>
      </c>
      <c r="AP64" s="10">
        <v>3</v>
      </c>
      <c r="AQ64" s="10">
        <v>208.01774387075801</v>
      </c>
      <c r="AS64" s="10">
        <v>2003</v>
      </c>
      <c r="AT64" s="10">
        <v>3</v>
      </c>
      <c r="AU64" s="10">
        <v>207.95101873586799</v>
      </c>
      <c r="AW64" s="10">
        <v>2003</v>
      </c>
      <c r="AX64" s="10">
        <v>3</v>
      </c>
      <c r="AY64" s="10">
        <v>207.95052287690299</v>
      </c>
    </row>
    <row r="65" spans="1:51" x14ac:dyDescent="0.25">
      <c r="A65" s="8">
        <v>2003</v>
      </c>
      <c r="B65" s="8">
        <v>4</v>
      </c>
      <c r="C65" s="10">
        <v>223.52407107281701</v>
      </c>
      <c r="E65" s="10">
        <v>2003</v>
      </c>
      <c r="F65" s="10">
        <v>4</v>
      </c>
      <c r="G65" s="10">
        <v>222.401650612363</v>
      </c>
      <c r="I65" s="10">
        <v>2003</v>
      </c>
      <c r="J65" s="10">
        <v>4</v>
      </c>
      <c r="K65" s="10">
        <v>222.41249837873599</v>
      </c>
      <c r="M65" s="10">
        <v>2003</v>
      </c>
      <c r="N65" s="10">
        <v>4</v>
      </c>
      <c r="O65" s="10">
        <v>222.32472176499999</v>
      </c>
      <c r="Q65" s="10">
        <v>2003</v>
      </c>
      <c r="R65" s="10">
        <v>4</v>
      </c>
      <c r="S65" s="10">
        <v>222.16796226330601</v>
      </c>
      <c r="U65" s="10">
        <v>2003</v>
      </c>
      <c r="V65" s="10">
        <v>4</v>
      </c>
      <c r="W65" s="10">
        <v>221.939342806528</v>
      </c>
      <c r="Y65" s="17">
        <v>2008</v>
      </c>
      <c r="Z65" s="17">
        <v>4</v>
      </c>
      <c r="AA65" s="17">
        <v>59372.050941909903</v>
      </c>
      <c r="AC65" s="10">
        <v>2003</v>
      </c>
      <c r="AD65" s="10">
        <v>4</v>
      </c>
      <c r="AE65" s="10">
        <v>221.962130719079</v>
      </c>
      <c r="AG65" s="10">
        <v>2003</v>
      </c>
      <c r="AH65" s="10">
        <v>4</v>
      </c>
      <c r="AI65" s="10">
        <v>221.911554710264</v>
      </c>
      <c r="AK65" s="10">
        <v>2003</v>
      </c>
      <c r="AL65" s="10">
        <v>4</v>
      </c>
      <c r="AM65" s="10">
        <v>221.979451803252</v>
      </c>
      <c r="AO65" s="10">
        <v>2003</v>
      </c>
      <c r="AP65" s="10">
        <v>4</v>
      </c>
      <c r="AQ65" s="10">
        <v>222.01950047067399</v>
      </c>
      <c r="AS65" s="10">
        <v>2003</v>
      </c>
      <c r="AT65" s="10">
        <v>4</v>
      </c>
      <c r="AU65" s="10">
        <v>222.20440172941201</v>
      </c>
      <c r="AW65" s="10">
        <v>2003</v>
      </c>
      <c r="AX65" s="10">
        <v>4</v>
      </c>
      <c r="AY65" s="10">
        <v>222.20378557768501</v>
      </c>
    </row>
    <row r="66" spans="1:51" x14ac:dyDescent="0.25">
      <c r="A66" s="8">
        <v>2003</v>
      </c>
      <c r="B66" s="8">
        <v>5</v>
      </c>
      <c r="C66" s="10">
        <v>216.522411263371</v>
      </c>
      <c r="E66" s="10">
        <v>2003</v>
      </c>
      <c r="F66" s="10">
        <v>5</v>
      </c>
      <c r="G66" s="10">
        <v>215.73895251033099</v>
      </c>
      <c r="I66" s="10">
        <v>2003</v>
      </c>
      <c r="J66" s="10">
        <v>5</v>
      </c>
      <c r="K66" s="10">
        <v>215.73854752962501</v>
      </c>
      <c r="M66" s="10">
        <v>2003</v>
      </c>
      <c r="N66" s="10">
        <v>5</v>
      </c>
      <c r="O66" s="10">
        <v>215.75255365052101</v>
      </c>
      <c r="Q66" s="10">
        <v>2003</v>
      </c>
      <c r="R66" s="10">
        <v>5</v>
      </c>
      <c r="S66" s="10">
        <v>215.77402031497201</v>
      </c>
      <c r="U66" s="10">
        <v>2003</v>
      </c>
      <c r="V66" s="10">
        <v>5</v>
      </c>
      <c r="W66" s="10">
        <v>215.81502553923599</v>
      </c>
      <c r="Y66" s="17">
        <v>2008</v>
      </c>
      <c r="Z66" s="17">
        <v>5</v>
      </c>
      <c r="AA66" s="17">
        <v>60028.305527172997</v>
      </c>
      <c r="AC66" s="10">
        <v>2003</v>
      </c>
      <c r="AD66" s="10">
        <v>5</v>
      </c>
      <c r="AE66" s="10">
        <v>215.80333276335099</v>
      </c>
      <c r="AG66" s="10">
        <v>2003</v>
      </c>
      <c r="AH66" s="10">
        <v>5</v>
      </c>
      <c r="AI66" s="10">
        <v>215.82143951966401</v>
      </c>
      <c r="AK66" s="10">
        <v>2003</v>
      </c>
      <c r="AL66" s="10">
        <v>5</v>
      </c>
      <c r="AM66" s="10">
        <v>215.81004133146101</v>
      </c>
      <c r="AO66" s="10">
        <v>2003</v>
      </c>
      <c r="AP66" s="10">
        <v>5</v>
      </c>
      <c r="AQ66" s="10">
        <v>215.83894241088299</v>
      </c>
      <c r="AS66" s="10">
        <v>2003</v>
      </c>
      <c r="AT66" s="10">
        <v>5</v>
      </c>
      <c r="AU66" s="10">
        <v>215.68421094681199</v>
      </c>
      <c r="AW66" s="10">
        <v>2003</v>
      </c>
      <c r="AX66" s="10">
        <v>5</v>
      </c>
      <c r="AY66" s="10">
        <v>215.679382831314</v>
      </c>
    </row>
    <row r="67" spans="1:51" x14ac:dyDescent="0.25">
      <c r="A67" s="8">
        <v>2003</v>
      </c>
      <c r="B67" s="8">
        <v>6</v>
      </c>
      <c r="C67" s="10">
        <v>219.09080588855699</v>
      </c>
      <c r="E67" s="10">
        <v>2003</v>
      </c>
      <c r="F67" s="10">
        <v>6</v>
      </c>
      <c r="G67" s="10">
        <v>219.66366165618999</v>
      </c>
      <c r="I67" s="10">
        <v>2003</v>
      </c>
      <c r="J67" s="10">
        <v>6</v>
      </c>
      <c r="K67" s="10">
        <v>219.65786906760701</v>
      </c>
      <c r="M67" s="10">
        <v>2003</v>
      </c>
      <c r="N67" s="10">
        <v>6</v>
      </c>
      <c r="O67" s="10">
        <v>219.68891913731699</v>
      </c>
      <c r="Q67" s="10">
        <v>2003</v>
      </c>
      <c r="R67" s="10">
        <v>6</v>
      </c>
      <c r="S67" s="10">
        <v>219.72015123885899</v>
      </c>
      <c r="U67" s="10">
        <v>2003</v>
      </c>
      <c r="V67" s="10">
        <v>6</v>
      </c>
      <c r="W67" s="10">
        <v>219.762956004698</v>
      </c>
      <c r="Y67" s="17">
        <v>2008</v>
      </c>
      <c r="Z67" s="17">
        <v>6</v>
      </c>
      <c r="AA67" s="17">
        <v>59528.7069126059</v>
      </c>
      <c r="AC67" s="10">
        <v>2003</v>
      </c>
      <c r="AD67" s="10">
        <v>6</v>
      </c>
      <c r="AE67" s="10">
        <v>219.75834882671401</v>
      </c>
      <c r="AG67" s="10">
        <v>2003</v>
      </c>
      <c r="AH67" s="10">
        <v>6</v>
      </c>
      <c r="AI67" s="10">
        <v>219.77978215789099</v>
      </c>
      <c r="AK67" s="10">
        <v>2003</v>
      </c>
      <c r="AL67" s="10">
        <v>6</v>
      </c>
      <c r="AM67" s="10">
        <v>219.75450616169201</v>
      </c>
      <c r="AO67" s="10">
        <v>2003</v>
      </c>
      <c r="AP67" s="10">
        <v>6</v>
      </c>
      <c r="AQ67" s="10">
        <v>219.769167375888</v>
      </c>
      <c r="AS67" s="10">
        <v>2003</v>
      </c>
      <c r="AT67" s="10">
        <v>6</v>
      </c>
      <c r="AU67" s="10">
        <v>219.73284842958299</v>
      </c>
      <c r="AW67" s="10">
        <v>2003</v>
      </c>
      <c r="AX67" s="10">
        <v>6</v>
      </c>
      <c r="AY67" s="10">
        <v>219.73355306961801</v>
      </c>
    </row>
    <row r="68" spans="1:51" x14ac:dyDescent="0.25">
      <c r="A68" s="8">
        <v>2003</v>
      </c>
      <c r="B68" s="8">
        <v>7</v>
      </c>
      <c r="C68" s="10">
        <v>222.63467906335501</v>
      </c>
      <c r="E68" s="10">
        <v>2003</v>
      </c>
      <c r="F68" s="10">
        <v>7</v>
      </c>
      <c r="G68" s="10">
        <v>222.09815204436401</v>
      </c>
      <c r="I68" s="10">
        <v>2003</v>
      </c>
      <c r="J68" s="10">
        <v>7</v>
      </c>
      <c r="K68" s="10">
        <v>222.103516359173</v>
      </c>
      <c r="M68" s="10">
        <v>2003</v>
      </c>
      <c r="N68" s="10">
        <v>7</v>
      </c>
      <c r="O68" s="10">
        <v>222.067907949036</v>
      </c>
      <c r="Q68" s="10">
        <v>2003</v>
      </c>
      <c r="R68" s="10">
        <v>7</v>
      </c>
      <c r="S68" s="10">
        <v>222.03425302849001</v>
      </c>
      <c r="U68" s="10">
        <v>2003</v>
      </c>
      <c r="V68" s="10">
        <v>7</v>
      </c>
      <c r="W68" s="10">
        <v>221.976087136384</v>
      </c>
      <c r="Y68" s="17">
        <v>2008</v>
      </c>
      <c r="Z68" s="17">
        <v>7</v>
      </c>
      <c r="AA68" s="17">
        <v>59221.062201025998</v>
      </c>
      <c r="AC68" s="10">
        <v>2003</v>
      </c>
      <c r="AD68" s="10">
        <v>7</v>
      </c>
      <c r="AE68" s="10">
        <v>221.98069204136101</v>
      </c>
      <c r="AG68" s="10">
        <v>2003</v>
      </c>
      <c r="AH68" s="10">
        <v>7</v>
      </c>
      <c r="AI68" s="10">
        <v>221.95370914863699</v>
      </c>
      <c r="AK68" s="10">
        <v>2003</v>
      </c>
      <c r="AL68" s="10">
        <v>7</v>
      </c>
      <c r="AM68" s="10">
        <v>221.98351631468299</v>
      </c>
      <c r="AO68" s="10">
        <v>2003</v>
      </c>
      <c r="AP68" s="10">
        <v>7</v>
      </c>
      <c r="AQ68" s="10">
        <v>221.922741076965</v>
      </c>
      <c r="AS68" s="10">
        <v>2003</v>
      </c>
      <c r="AT68" s="10">
        <v>7</v>
      </c>
      <c r="AU68" s="10">
        <v>221.94515086447299</v>
      </c>
      <c r="AW68" s="10">
        <v>2003</v>
      </c>
      <c r="AX68" s="10">
        <v>7</v>
      </c>
      <c r="AY68" s="10">
        <v>221.94183421766601</v>
      </c>
    </row>
    <row r="69" spans="1:51" x14ac:dyDescent="0.25">
      <c r="A69" s="8">
        <v>2003</v>
      </c>
      <c r="B69" s="8">
        <v>8</v>
      </c>
      <c r="C69" s="10">
        <v>225.36558779039601</v>
      </c>
      <c r="E69" s="10">
        <v>2003</v>
      </c>
      <c r="F69" s="10">
        <v>8</v>
      </c>
      <c r="G69" s="10">
        <v>226.002967905162</v>
      </c>
      <c r="I69" s="10">
        <v>2003</v>
      </c>
      <c r="J69" s="10">
        <v>8</v>
      </c>
      <c r="K69" s="10">
        <v>225.99071566283499</v>
      </c>
      <c r="M69" s="10">
        <v>2003</v>
      </c>
      <c r="N69" s="10">
        <v>8</v>
      </c>
      <c r="O69" s="10">
        <v>226.04496627139099</v>
      </c>
      <c r="Q69" s="10">
        <v>2003</v>
      </c>
      <c r="R69" s="10">
        <v>8</v>
      </c>
      <c r="S69" s="10">
        <v>226.08375769897299</v>
      </c>
      <c r="U69" s="10">
        <v>2003</v>
      </c>
      <c r="V69" s="10">
        <v>8</v>
      </c>
      <c r="W69" s="10">
        <v>226.145534775795</v>
      </c>
      <c r="Y69" s="17">
        <v>2008</v>
      </c>
      <c r="Z69" s="17">
        <v>8</v>
      </c>
      <c r="AA69" s="17">
        <v>59160.949664140702</v>
      </c>
      <c r="AC69" s="10">
        <v>2003</v>
      </c>
      <c r="AD69" s="10">
        <v>8</v>
      </c>
      <c r="AE69" s="10">
        <v>226.13886178132501</v>
      </c>
      <c r="AG69" s="10">
        <v>2003</v>
      </c>
      <c r="AH69" s="10">
        <v>8</v>
      </c>
      <c r="AI69" s="10">
        <v>226.175008094574</v>
      </c>
      <c r="AK69" s="10">
        <v>2003</v>
      </c>
      <c r="AL69" s="10">
        <v>8</v>
      </c>
      <c r="AM69" s="10">
        <v>226.130192902874</v>
      </c>
      <c r="AO69" s="10">
        <v>2003</v>
      </c>
      <c r="AP69" s="10">
        <v>8</v>
      </c>
      <c r="AQ69" s="10">
        <v>226.17939558085999</v>
      </c>
      <c r="AS69" s="10">
        <v>2003</v>
      </c>
      <c r="AT69" s="10">
        <v>8</v>
      </c>
      <c r="AU69" s="10">
        <v>226.16267698607999</v>
      </c>
      <c r="AW69" s="10">
        <v>2003</v>
      </c>
      <c r="AX69" s="10">
        <v>8</v>
      </c>
      <c r="AY69" s="10">
        <v>226.16936065789</v>
      </c>
    </row>
    <row r="70" spans="1:51" x14ac:dyDescent="0.25">
      <c r="A70" s="8">
        <v>2003</v>
      </c>
      <c r="B70" s="8">
        <v>9</v>
      </c>
      <c r="C70" s="10">
        <v>229.17390404632201</v>
      </c>
      <c r="E70" s="10">
        <v>2003</v>
      </c>
      <c r="F70" s="10">
        <v>9</v>
      </c>
      <c r="G70" s="10">
        <v>228.775802053099</v>
      </c>
      <c r="I70" s="10">
        <v>2003</v>
      </c>
      <c r="J70" s="10">
        <v>9</v>
      </c>
      <c r="K70" s="10">
        <v>228.77920902792701</v>
      </c>
      <c r="M70" s="10">
        <v>2003</v>
      </c>
      <c r="N70" s="10">
        <v>9</v>
      </c>
      <c r="O70" s="10">
        <v>228.75385532991001</v>
      </c>
      <c r="Q70" s="10">
        <v>2003</v>
      </c>
      <c r="R70" s="10">
        <v>9</v>
      </c>
      <c r="S70" s="10">
        <v>228.727840921352</v>
      </c>
      <c r="U70" s="10">
        <v>2003</v>
      </c>
      <c r="V70" s="10">
        <v>9</v>
      </c>
      <c r="W70" s="10">
        <v>228.68412656370401</v>
      </c>
      <c r="Y70" s="17">
        <v>2008</v>
      </c>
      <c r="Z70" s="17">
        <v>9</v>
      </c>
      <c r="AA70" s="17">
        <v>59553.078485364698</v>
      </c>
      <c r="AC70" s="10">
        <v>2003</v>
      </c>
      <c r="AD70" s="10">
        <v>9</v>
      </c>
      <c r="AE70" s="10">
        <v>228.68760182263</v>
      </c>
      <c r="AG70" s="10">
        <v>2003</v>
      </c>
      <c r="AH70" s="10">
        <v>9</v>
      </c>
      <c r="AI70" s="10">
        <v>228.66689752028299</v>
      </c>
      <c r="AK70" s="10">
        <v>2003</v>
      </c>
      <c r="AL70" s="10">
        <v>9</v>
      </c>
      <c r="AM70" s="10">
        <v>228.68828281178401</v>
      </c>
      <c r="AO70" s="10">
        <v>2003</v>
      </c>
      <c r="AP70" s="10">
        <v>9</v>
      </c>
      <c r="AQ70" s="10">
        <v>228.64803361987899</v>
      </c>
      <c r="AS70" s="10">
        <v>2003</v>
      </c>
      <c r="AT70" s="10">
        <v>9</v>
      </c>
      <c r="AU70" s="10">
        <v>228.66877886335001</v>
      </c>
      <c r="AW70" s="10">
        <v>2003</v>
      </c>
      <c r="AX70" s="10">
        <v>9</v>
      </c>
      <c r="AY70" s="10">
        <v>228.66668056136999</v>
      </c>
    </row>
    <row r="71" spans="1:51" x14ac:dyDescent="0.25">
      <c r="A71" s="8">
        <v>2003</v>
      </c>
      <c r="B71" s="8">
        <v>10</v>
      </c>
      <c r="C71" s="10">
        <v>232.05074437568101</v>
      </c>
      <c r="E71" s="10">
        <v>2003</v>
      </c>
      <c r="F71" s="10">
        <v>10</v>
      </c>
      <c r="G71" s="10">
        <v>231.704915332854</v>
      </c>
      <c r="I71" s="10">
        <v>2003</v>
      </c>
      <c r="J71" s="10">
        <v>10</v>
      </c>
      <c r="K71" s="10">
        <v>231.70762603045401</v>
      </c>
      <c r="M71" s="10">
        <v>2003</v>
      </c>
      <c r="N71" s="10">
        <v>10</v>
      </c>
      <c r="O71" s="10">
        <v>231.684043823862</v>
      </c>
      <c r="Q71" s="10">
        <v>2003</v>
      </c>
      <c r="R71" s="10">
        <v>10</v>
      </c>
      <c r="S71" s="10">
        <v>231.65571063613601</v>
      </c>
      <c r="U71" s="10">
        <v>2003</v>
      </c>
      <c r="V71" s="10">
        <v>10</v>
      </c>
      <c r="W71" s="10">
        <v>231.61215018638501</v>
      </c>
      <c r="Y71" s="17">
        <v>2008</v>
      </c>
      <c r="Z71" s="17">
        <v>10</v>
      </c>
      <c r="AA71" s="17">
        <v>59857.802735109399</v>
      </c>
      <c r="AC71" s="10">
        <v>2003</v>
      </c>
      <c r="AD71" s="10">
        <v>10</v>
      </c>
      <c r="AE71" s="10">
        <v>231.61593953910699</v>
      </c>
      <c r="AG71" s="10">
        <v>2003</v>
      </c>
      <c r="AH71" s="10">
        <v>10</v>
      </c>
      <c r="AI71" s="10">
        <v>231.59615679165901</v>
      </c>
      <c r="AK71" s="10">
        <v>2003</v>
      </c>
      <c r="AL71" s="10">
        <v>10</v>
      </c>
      <c r="AM71" s="10">
        <v>231.61628054502199</v>
      </c>
      <c r="AO71" s="10">
        <v>2003</v>
      </c>
      <c r="AP71" s="10">
        <v>10</v>
      </c>
      <c r="AQ71" s="10">
        <v>231.57775849048599</v>
      </c>
      <c r="AS71" s="10">
        <v>2003</v>
      </c>
      <c r="AT71" s="10">
        <v>10</v>
      </c>
      <c r="AU71" s="10">
        <v>231.608821879044</v>
      </c>
      <c r="AW71" s="10">
        <v>2003</v>
      </c>
      <c r="AX71" s="10">
        <v>10</v>
      </c>
      <c r="AY71" s="10">
        <v>231.60910313852301</v>
      </c>
    </row>
    <row r="72" spans="1:51" x14ac:dyDescent="0.25">
      <c r="A72" s="8">
        <v>2003</v>
      </c>
      <c r="B72" s="8">
        <v>11</v>
      </c>
      <c r="C72" s="10">
        <v>234.91567078601199</v>
      </c>
      <c r="E72" s="10">
        <v>2003</v>
      </c>
      <c r="F72" s="10">
        <v>11</v>
      </c>
      <c r="G72" s="10">
        <v>235.97071655952001</v>
      </c>
      <c r="I72" s="10">
        <v>2003</v>
      </c>
      <c r="J72" s="10">
        <v>11</v>
      </c>
      <c r="K72" s="10">
        <v>235.95996178115999</v>
      </c>
      <c r="M72" s="10">
        <v>2003</v>
      </c>
      <c r="N72" s="10">
        <v>11</v>
      </c>
      <c r="O72" s="10">
        <v>236.02010830446301</v>
      </c>
      <c r="Q72" s="10">
        <v>2003</v>
      </c>
      <c r="R72" s="10">
        <v>11</v>
      </c>
      <c r="S72" s="10">
        <v>236.07687070812599</v>
      </c>
      <c r="U72" s="10">
        <v>2003</v>
      </c>
      <c r="V72" s="10">
        <v>11</v>
      </c>
      <c r="W72" s="10">
        <v>236.163058847093</v>
      </c>
      <c r="Y72" s="17">
        <v>2008</v>
      </c>
      <c r="Z72" s="17">
        <v>11</v>
      </c>
      <c r="AA72" s="17">
        <v>59449.146661858998</v>
      </c>
      <c r="AC72" s="10">
        <v>2003</v>
      </c>
      <c r="AD72" s="10">
        <v>11</v>
      </c>
      <c r="AE72" s="10">
        <v>236.15555200365901</v>
      </c>
      <c r="AG72" s="10">
        <v>2003</v>
      </c>
      <c r="AH72" s="10">
        <v>11</v>
      </c>
      <c r="AI72" s="10">
        <v>236.19566301101599</v>
      </c>
      <c r="AK72" s="10">
        <v>2003</v>
      </c>
      <c r="AL72" s="10">
        <v>11</v>
      </c>
      <c r="AM72" s="10">
        <v>236.146404360031</v>
      </c>
      <c r="AO72" s="10">
        <v>2003</v>
      </c>
      <c r="AP72" s="10">
        <v>11</v>
      </c>
      <c r="AQ72" s="10">
        <v>236.21055864138199</v>
      </c>
      <c r="AS72" s="10">
        <v>2003</v>
      </c>
      <c r="AT72" s="10">
        <v>11</v>
      </c>
      <c r="AU72" s="10">
        <v>236.16470273804899</v>
      </c>
      <c r="AW72" s="10">
        <v>2003</v>
      </c>
      <c r="AX72" s="10">
        <v>11</v>
      </c>
      <c r="AY72" s="10">
        <v>236.167856608752</v>
      </c>
    </row>
    <row r="73" spans="1:51" x14ac:dyDescent="0.25">
      <c r="A73" s="8">
        <v>2003</v>
      </c>
      <c r="B73" s="8">
        <v>12</v>
      </c>
      <c r="C73" s="10">
        <v>241.431823677419</v>
      </c>
      <c r="E73" s="10">
        <v>2003</v>
      </c>
      <c r="F73" s="10">
        <v>12</v>
      </c>
      <c r="G73" s="10">
        <v>241.25727514586001</v>
      </c>
      <c r="I73" s="10">
        <v>2003</v>
      </c>
      <c r="J73" s="10">
        <v>12</v>
      </c>
      <c r="K73" s="10">
        <v>241.26025177224</v>
      </c>
      <c r="M73" s="10">
        <v>2003</v>
      </c>
      <c r="N73" s="10">
        <v>12</v>
      </c>
      <c r="O73" s="10">
        <v>241.24122976408799</v>
      </c>
      <c r="Q73" s="10">
        <v>2003</v>
      </c>
      <c r="R73" s="10">
        <v>12</v>
      </c>
      <c r="S73" s="10">
        <v>241.22489961717599</v>
      </c>
      <c r="U73" s="10">
        <v>2003</v>
      </c>
      <c r="V73" s="10">
        <v>12</v>
      </c>
      <c r="W73" s="10">
        <v>241.19438868941899</v>
      </c>
      <c r="Y73" s="17">
        <v>2008</v>
      </c>
      <c r="Z73" s="17">
        <v>12</v>
      </c>
      <c r="AA73" s="17">
        <v>58974.1370277022</v>
      </c>
      <c r="AC73" s="10">
        <v>2003</v>
      </c>
      <c r="AD73" s="10">
        <v>12</v>
      </c>
      <c r="AE73" s="10">
        <v>241.197709761873</v>
      </c>
      <c r="AG73" s="10">
        <v>2003</v>
      </c>
      <c r="AH73" s="10">
        <v>12</v>
      </c>
      <c r="AI73" s="10">
        <v>241.180331539131</v>
      </c>
      <c r="AK73" s="10">
        <v>2003</v>
      </c>
      <c r="AL73" s="10">
        <v>12</v>
      </c>
      <c r="AM73" s="10">
        <v>241.196687302632</v>
      </c>
      <c r="AO73" s="10">
        <v>2003</v>
      </c>
      <c r="AP73" s="10">
        <v>12</v>
      </c>
      <c r="AQ73" s="10">
        <v>241.15571621427</v>
      </c>
      <c r="AS73" s="10">
        <v>2003</v>
      </c>
      <c r="AT73" s="10">
        <v>12</v>
      </c>
      <c r="AU73" s="10">
        <v>241.16860771216199</v>
      </c>
      <c r="AW73" s="10">
        <v>2003</v>
      </c>
      <c r="AX73" s="10">
        <v>12</v>
      </c>
      <c r="AY73" s="10">
        <v>241.16613764619299</v>
      </c>
    </row>
    <row r="74" spans="1:51" x14ac:dyDescent="0.25">
      <c r="A74" s="8">
        <v>2004</v>
      </c>
      <c r="B74" s="8">
        <v>1</v>
      </c>
      <c r="C74" s="10">
        <v>238.67273222004701</v>
      </c>
      <c r="E74" s="10">
        <v>2004</v>
      </c>
      <c r="F74" s="10">
        <v>1</v>
      </c>
      <c r="G74" s="10">
        <v>238.943341303529</v>
      </c>
      <c r="I74" s="10">
        <v>2004</v>
      </c>
      <c r="J74" s="10">
        <v>1</v>
      </c>
      <c r="K74" s="10">
        <v>238.94175743073899</v>
      </c>
      <c r="M74" s="10">
        <v>2004</v>
      </c>
      <c r="N74" s="10">
        <v>1</v>
      </c>
      <c r="O74" s="10">
        <v>238.95119100199699</v>
      </c>
      <c r="Q74" s="10">
        <v>2004</v>
      </c>
      <c r="R74" s="10">
        <v>1</v>
      </c>
      <c r="S74" s="10">
        <v>238.96271116278299</v>
      </c>
      <c r="U74" s="10">
        <v>2004</v>
      </c>
      <c r="V74" s="10">
        <v>1</v>
      </c>
      <c r="W74" s="10">
        <v>238.97338648194199</v>
      </c>
      <c r="Y74" s="17">
        <v>2009</v>
      </c>
      <c r="Z74" s="17">
        <v>1</v>
      </c>
      <c r="AA74" s="17">
        <v>58580.657791818798</v>
      </c>
      <c r="AC74" s="10">
        <v>2004</v>
      </c>
      <c r="AD74" s="10">
        <v>1</v>
      </c>
      <c r="AE74" s="10">
        <v>238.97397517460601</v>
      </c>
      <c r="AG74" s="10">
        <v>2004</v>
      </c>
      <c r="AH74" s="10">
        <v>1</v>
      </c>
      <c r="AI74" s="10">
        <v>238.97815138047801</v>
      </c>
      <c r="AK74" s="10">
        <v>2004</v>
      </c>
      <c r="AL74" s="10">
        <v>1</v>
      </c>
      <c r="AM74" s="10">
        <v>238.970730545859</v>
      </c>
      <c r="AO74" s="10">
        <v>2004</v>
      </c>
      <c r="AP74" s="10">
        <v>1</v>
      </c>
      <c r="AQ74" s="10">
        <v>238.961318345721</v>
      </c>
      <c r="AS74" s="10">
        <v>2004</v>
      </c>
      <c r="AT74" s="10">
        <v>1</v>
      </c>
      <c r="AU74" s="10">
        <v>238.964193369382</v>
      </c>
      <c r="AW74" s="10">
        <v>2004</v>
      </c>
      <c r="AX74" s="10">
        <v>1</v>
      </c>
      <c r="AY74" s="10">
        <v>238.96501968665899</v>
      </c>
    </row>
    <row r="75" spans="1:51" x14ac:dyDescent="0.25">
      <c r="A75" s="8">
        <v>2004</v>
      </c>
      <c r="B75" s="8">
        <v>2</v>
      </c>
      <c r="C75" s="10">
        <v>249.51299289232199</v>
      </c>
      <c r="E75" s="10">
        <v>2004</v>
      </c>
      <c r="F75" s="10">
        <v>2</v>
      </c>
      <c r="G75" s="10">
        <v>250.20057032822601</v>
      </c>
      <c r="I75" s="10">
        <v>2004</v>
      </c>
      <c r="J75" s="10">
        <v>2</v>
      </c>
      <c r="K75" s="10">
        <v>250.20521082087299</v>
      </c>
      <c r="M75" s="10">
        <v>2004</v>
      </c>
      <c r="N75" s="10">
        <v>2</v>
      </c>
      <c r="O75" s="10">
        <v>250.2268674924</v>
      </c>
      <c r="Q75" s="10">
        <v>2004</v>
      </c>
      <c r="R75" s="10">
        <v>2</v>
      </c>
      <c r="S75" s="10">
        <v>250.311258439959</v>
      </c>
      <c r="U75" s="10">
        <v>2004</v>
      </c>
      <c r="V75" s="10">
        <v>2</v>
      </c>
      <c r="W75" s="10">
        <v>250.21550891520499</v>
      </c>
      <c r="Y75" s="17">
        <v>2009</v>
      </c>
      <c r="Z75" s="17">
        <v>2</v>
      </c>
      <c r="AA75" s="17">
        <v>58714.952796496204</v>
      </c>
      <c r="AC75" s="10">
        <v>2004</v>
      </c>
      <c r="AD75" s="10">
        <v>2</v>
      </c>
      <c r="AE75" s="10">
        <v>250.210130644576</v>
      </c>
      <c r="AG75" s="10">
        <v>2004</v>
      </c>
      <c r="AH75" s="10">
        <v>2</v>
      </c>
      <c r="AI75" s="10">
        <v>250.21909996623401</v>
      </c>
      <c r="AK75" s="10">
        <v>2004</v>
      </c>
      <c r="AL75" s="10">
        <v>2</v>
      </c>
      <c r="AM75" s="10">
        <v>250.19823369741499</v>
      </c>
      <c r="AO75" s="10">
        <v>2004</v>
      </c>
      <c r="AP75" s="10">
        <v>2</v>
      </c>
      <c r="AQ75" s="10">
        <v>250.200113599113</v>
      </c>
      <c r="AS75" s="10">
        <v>2004</v>
      </c>
      <c r="AT75" s="10">
        <v>2</v>
      </c>
      <c r="AU75" s="10">
        <v>249.50549061269899</v>
      </c>
      <c r="AW75" s="10">
        <v>2004</v>
      </c>
      <c r="AX75" s="10">
        <v>2</v>
      </c>
      <c r="AY75" s="10">
        <v>249.39718395989601</v>
      </c>
    </row>
    <row r="76" spans="1:51" x14ac:dyDescent="0.25">
      <c r="A76" s="8">
        <v>2004</v>
      </c>
      <c r="B76" s="8">
        <v>3</v>
      </c>
      <c r="C76" s="10">
        <v>249.55489714888401</v>
      </c>
      <c r="E76" s="10">
        <v>2004</v>
      </c>
      <c r="F76" s="10">
        <v>3</v>
      </c>
      <c r="G76" s="10">
        <v>249.47525144404199</v>
      </c>
      <c r="I76" s="10">
        <v>2004</v>
      </c>
      <c r="J76" s="10">
        <v>3</v>
      </c>
      <c r="K76" s="10">
        <v>249.485798512739</v>
      </c>
      <c r="M76" s="10">
        <v>2004</v>
      </c>
      <c r="N76" s="10">
        <v>3</v>
      </c>
      <c r="O76" s="10">
        <v>249.45894596694299</v>
      </c>
      <c r="Q76" s="10">
        <v>2004</v>
      </c>
      <c r="R76" s="10">
        <v>3</v>
      </c>
      <c r="S76" s="10">
        <v>249.487745103539</v>
      </c>
      <c r="U76" s="10">
        <v>2004</v>
      </c>
      <c r="V76" s="10">
        <v>3</v>
      </c>
      <c r="W76" s="10">
        <v>249.52816223027099</v>
      </c>
      <c r="Y76" s="17">
        <v>2009</v>
      </c>
      <c r="Z76" s="17">
        <v>3</v>
      </c>
      <c r="AA76" s="17">
        <v>58715.295216628598</v>
      </c>
      <c r="AC76" s="10">
        <v>2004</v>
      </c>
      <c r="AD76" s="10">
        <v>3</v>
      </c>
      <c r="AE76" s="10">
        <v>249.53017799545199</v>
      </c>
      <c r="AG76" s="10">
        <v>2004</v>
      </c>
      <c r="AH76" s="10">
        <v>3</v>
      </c>
      <c r="AI76" s="10">
        <v>249.509678936239</v>
      </c>
      <c r="AK76" s="10">
        <v>2004</v>
      </c>
      <c r="AL76" s="10">
        <v>3</v>
      </c>
      <c r="AM76" s="10">
        <v>249.53256477868501</v>
      </c>
      <c r="AO76" s="10">
        <v>2004</v>
      </c>
      <c r="AP76" s="10">
        <v>3</v>
      </c>
      <c r="AQ76" s="10">
        <v>249.47958176149601</v>
      </c>
      <c r="AS76" s="10">
        <v>2004</v>
      </c>
      <c r="AT76" s="10">
        <v>3</v>
      </c>
      <c r="AU76" s="10">
        <v>249.50428504472501</v>
      </c>
      <c r="AW76" s="10">
        <v>2004</v>
      </c>
      <c r="AX76" s="10">
        <v>3</v>
      </c>
      <c r="AY76" s="10">
        <v>249.50196424204199</v>
      </c>
    </row>
    <row r="77" spans="1:51" x14ac:dyDescent="0.25">
      <c r="A77" s="8">
        <v>2004</v>
      </c>
      <c r="B77" s="8">
        <v>4</v>
      </c>
      <c r="C77" s="10">
        <v>243.19510848819601</v>
      </c>
      <c r="E77" s="10">
        <v>2004</v>
      </c>
      <c r="F77" s="10">
        <v>4</v>
      </c>
      <c r="G77" s="10">
        <v>242.449009421276</v>
      </c>
      <c r="I77" s="10">
        <v>2004</v>
      </c>
      <c r="J77" s="10">
        <v>4</v>
      </c>
      <c r="K77" s="10">
        <v>242.46474679794599</v>
      </c>
      <c r="M77" s="10">
        <v>2004</v>
      </c>
      <c r="N77" s="10">
        <v>4</v>
      </c>
      <c r="O77" s="10">
        <v>242.38076956433</v>
      </c>
      <c r="Q77" s="10">
        <v>2004</v>
      </c>
      <c r="R77" s="10">
        <v>4</v>
      </c>
      <c r="S77" s="10">
        <v>242.261005342121</v>
      </c>
      <c r="U77" s="10">
        <v>2004</v>
      </c>
      <c r="V77" s="10">
        <v>4</v>
      </c>
      <c r="W77" s="10">
        <v>242.105993049776</v>
      </c>
      <c r="Y77" s="17">
        <v>2009</v>
      </c>
      <c r="Z77" s="17">
        <v>4</v>
      </c>
      <c r="AA77" s="17">
        <v>58684.143500657003</v>
      </c>
      <c r="AC77" s="10">
        <v>2004</v>
      </c>
      <c r="AD77" s="10">
        <v>4</v>
      </c>
      <c r="AE77" s="10">
        <v>242.12633322175</v>
      </c>
      <c r="AG77" s="10">
        <v>2004</v>
      </c>
      <c r="AH77" s="10">
        <v>4</v>
      </c>
      <c r="AI77" s="10">
        <v>242.08007368737501</v>
      </c>
      <c r="AK77" s="10">
        <v>2004</v>
      </c>
      <c r="AL77" s="10">
        <v>4</v>
      </c>
      <c r="AM77" s="10">
        <v>242.144481123791</v>
      </c>
      <c r="AO77" s="10">
        <v>2004</v>
      </c>
      <c r="AP77" s="10">
        <v>4</v>
      </c>
      <c r="AQ77" s="10">
        <v>242.21281832166099</v>
      </c>
      <c r="AS77" s="10">
        <v>2004</v>
      </c>
      <c r="AT77" s="10">
        <v>4</v>
      </c>
      <c r="AU77" s="10">
        <v>242.427314013429</v>
      </c>
      <c r="AW77" s="10">
        <v>2004</v>
      </c>
      <c r="AX77" s="10">
        <v>4</v>
      </c>
      <c r="AY77" s="10">
        <v>242.4281832849</v>
      </c>
    </row>
    <row r="78" spans="1:51" x14ac:dyDescent="0.25">
      <c r="A78" s="8">
        <v>2004</v>
      </c>
      <c r="B78" s="8">
        <v>5</v>
      </c>
      <c r="C78" s="10">
        <v>259.04252449788299</v>
      </c>
      <c r="E78" s="10">
        <v>2004</v>
      </c>
      <c r="F78" s="10">
        <v>5</v>
      </c>
      <c r="G78" s="10">
        <v>258.33967259341199</v>
      </c>
      <c r="I78" s="10">
        <v>2004</v>
      </c>
      <c r="J78" s="10">
        <v>5</v>
      </c>
      <c r="K78" s="10">
        <v>258.33395930330101</v>
      </c>
      <c r="M78" s="10">
        <v>2004</v>
      </c>
      <c r="N78" s="10">
        <v>5</v>
      </c>
      <c r="O78" s="10">
        <v>258.38311166557298</v>
      </c>
      <c r="Q78" s="10">
        <v>2004</v>
      </c>
      <c r="R78" s="10">
        <v>5</v>
      </c>
      <c r="S78" s="10">
        <v>258.43832574263098</v>
      </c>
      <c r="U78" s="10">
        <v>2004</v>
      </c>
      <c r="V78" s="10">
        <v>5</v>
      </c>
      <c r="W78" s="10">
        <v>258.541702425408</v>
      </c>
      <c r="Y78" s="17">
        <v>2009</v>
      </c>
      <c r="Z78" s="17">
        <v>5</v>
      </c>
      <c r="AA78" s="17">
        <v>58329.303584234702</v>
      </c>
      <c r="AC78" s="10">
        <v>2004</v>
      </c>
      <c r="AD78" s="10">
        <v>5</v>
      </c>
      <c r="AE78" s="10">
        <v>258.51926548657099</v>
      </c>
      <c r="AG78" s="10">
        <v>2004</v>
      </c>
      <c r="AH78" s="10">
        <v>5</v>
      </c>
      <c r="AI78" s="10">
        <v>258.56923778735302</v>
      </c>
      <c r="AK78" s="10">
        <v>2004</v>
      </c>
      <c r="AL78" s="10">
        <v>5</v>
      </c>
      <c r="AM78" s="10">
        <v>258.52870626960703</v>
      </c>
      <c r="AO78" s="10">
        <v>2004</v>
      </c>
      <c r="AP78" s="10">
        <v>5</v>
      </c>
      <c r="AQ78" s="10">
        <v>258.60572806529098</v>
      </c>
      <c r="AS78" s="10">
        <v>2004</v>
      </c>
      <c r="AT78" s="10">
        <v>5</v>
      </c>
      <c r="AU78" s="10">
        <v>258.34853196649698</v>
      </c>
      <c r="AW78" s="10">
        <v>2004</v>
      </c>
      <c r="AX78" s="10">
        <v>5</v>
      </c>
      <c r="AY78" s="10">
        <v>258.34545497814997</v>
      </c>
    </row>
    <row r="79" spans="1:51" x14ac:dyDescent="0.25">
      <c r="A79" s="8">
        <v>2004</v>
      </c>
      <c r="B79" s="8">
        <v>6</v>
      </c>
      <c r="C79" s="10">
        <v>259.51668238211101</v>
      </c>
      <c r="E79" s="10">
        <v>2004</v>
      </c>
      <c r="F79" s="10">
        <v>6</v>
      </c>
      <c r="G79" s="10">
        <v>259.53073594606701</v>
      </c>
      <c r="I79" s="10">
        <v>2004</v>
      </c>
      <c r="J79" s="10">
        <v>6</v>
      </c>
      <c r="K79" s="10">
        <v>259.53079776637497</v>
      </c>
      <c r="M79" s="10">
        <v>2004</v>
      </c>
      <c r="N79" s="10">
        <v>6</v>
      </c>
      <c r="O79" s="10">
        <v>259.52245624137601</v>
      </c>
      <c r="Q79" s="10">
        <v>2004</v>
      </c>
      <c r="R79" s="10">
        <v>6</v>
      </c>
      <c r="S79" s="10">
        <v>259.51213279571601</v>
      </c>
      <c r="U79" s="10">
        <v>2004</v>
      </c>
      <c r="V79" s="10">
        <v>6</v>
      </c>
      <c r="W79" s="10">
        <v>259.48897821578498</v>
      </c>
      <c r="Y79" s="17">
        <v>2009</v>
      </c>
      <c r="Z79" s="17">
        <v>6</v>
      </c>
      <c r="AA79" s="17">
        <v>58205.650642536602</v>
      </c>
      <c r="AC79" s="10">
        <v>2004</v>
      </c>
      <c r="AD79" s="10">
        <v>6</v>
      </c>
      <c r="AE79" s="10">
        <v>259.490164857129</v>
      </c>
      <c r="AG79" s="10">
        <v>2004</v>
      </c>
      <c r="AH79" s="10">
        <v>6</v>
      </c>
      <c r="AI79" s="10">
        <v>259.48343566529201</v>
      </c>
      <c r="AK79" s="10">
        <v>2004</v>
      </c>
      <c r="AL79" s="10">
        <v>6</v>
      </c>
      <c r="AM79" s="10">
        <v>259.49077760103398</v>
      </c>
      <c r="AO79" s="10">
        <v>2004</v>
      </c>
      <c r="AP79" s="10">
        <v>6</v>
      </c>
      <c r="AQ79" s="10">
        <v>259.44384623876999</v>
      </c>
      <c r="AS79" s="10">
        <v>2004</v>
      </c>
      <c r="AT79" s="10">
        <v>6</v>
      </c>
      <c r="AU79" s="10">
        <v>259.442793986548</v>
      </c>
      <c r="AW79" s="10">
        <v>2004</v>
      </c>
      <c r="AX79" s="10">
        <v>6</v>
      </c>
      <c r="AY79" s="10">
        <v>259.44245577118102</v>
      </c>
    </row>
    <row r="80" spans="1:51" x14ac:dyDescent="0.25">
      <c r="A80" s="8">
        <v>2004</v>
      </c>
      <c r="B80" s="8">
        <v>7</v>
      </c>
      <c r="C80" s="10">
        <v>252.77102084132099</v>
      </c>
      <c r="E80" s="10">
        <v>2004</v>
      </c>
      <c r="F80" s="10">
        <v>7</v>
      </c>
      <c r="G80" s="10">
        <v>252.99157531775899</v>
      </c>
      <c r="I80" s="10">
        <v>2004</v>
      </c>
      <c r="J80" s="10">
        <v>7</v>
      </c>
      <c r="K80" s="10">
        <v>252.98941014459101</v>
      </c>
      <c r="M80" s="10">
        <v>2004</v>
      </c>
      <c r="N80" s="10">
        <v>7</v>
      </c>
      <c r="O80" s="10">
        <v>252.99341737259201</v>
      </c>
      <c r="Q80" s="10">
        <v>2004</v>
      </c>
      <c r="R80" s="10">
        <v>7</v>
      </c>
      <c r="S80" s="10">
        <v>252.99644735586401</v>
      </c>
      <c r="U80" s="10">
        <v>2004</v>
      </c>
      <c r="V80" s="10">
        <v>7</v>
      </c>
      <c r="W80" s="10">
        <v>252.99552186099999</v>
      </c>
      <c r="Y80" s="17">
        <v>2009</v>
      </c>
      <c r="Z80" s="17">
        <v>7</v>
      </c>
      <c r="AA80" s="17">
        <v>57961.644446856699</v>
      </c>
      <c r="AC80" s="10">
        <v>2004</v>
      </c>
      <c r="AD80" s="10">
        <v>7</v>
      </c>
      <c r="AE80" s="10">
        <v>252.994525427366</v>
      </c>
      <c r="AG80" s="10">
        <v>2004</v>
      </c>
      <c r="AH80" s="10">
        <v>7</v>
      </c>
      <c r="AI80" s="10">
        <v>252.99510175950999</v>
      </c>
      <c r="AK80" s="10">
        <v>2004</v>
      </c>
      <c r="AL80" s="10">
        <v>7</v>
      </c>
      <c r="AM80" s="10">
        <v>252.992331648396</v>
      </c>
      <c r="AO80" s="10">
        <v>2004</v>
      </c>
      <c r="AP80" s="10">
        <v>7</v>
      </c>
      <c r="AQ80" s="10">
        <v>252.97049232224001</v>
      </c>
      <c r="AS80" s="10">
        <v>2004</v>
      </c>
      <c r="AT80" s="10">
        <v>7</v>
      </c>
      <c r="AU80" s="10">
        <v>252.955272580838</v>
      </c>
      <c r="AW80" s="10">
        <v>2004</v>
      </c>
      <c r="AX80" s="10">
        <v>7</v>
      </c>
      <c r="AY80" s="10">
        <v>252.95510992462499</v>
      </c>
    </row>
    <row r="81" spans="1:51" x14ac:dyDescent="0.25">
      <c r="A81" s="8">
        <v>2004</v>
      </c>
      <c r="B81" s="8">
        <v>8</v>
      </c>
      <c r="C81" s="10">
        <v>252.48989488700499</v>
      </c>
      <c r="E81" s="10">
        <v>2004</v>
      </c>
      <c r="F81" s="10">
        <v>8</v>
      </c>
      <c r="G81" s="10">
        <v>252.05409772665101</v>
      </c>
      <c r="I81" s="10">
        <v>2004</v>
      </c>
      <c r="J81" s="10">
        <v>8</v>
      </c>
      <c r="K81" s="10">
        <v>252.04829479848701</v>
      </c>
      <c r="M81" s="10">
        <v>2004</v>
      </c>
      <c r="N81" s="10">
        <v>8</v>
      </c>
      <c r="O81" s="10">
        <v>252.05189525761401</v>
      </c>
      <c r="Q81" s="10">
        <v>2004</v>
      </c>
      <c r="R81" s="10">
        <v>8</v>
      </c>
      <c r="S81" s="10">
        <v>252.03422031829101</v>
      </c>
      <c r="U81" s="10">
        <v>2004</v>
      </c>
      <c r="V81" s="10">
        <v>8</v>
      </c>
      <c r="W81" s="10">
        <v>252.00299669521399</v>
      </c>
      <c r="Y81" s="17">
        <v>2009</v>
      </c>
      <c r="Z81" s="17">
        <v>8</v>
      </c>
      <c r="AA81" s="17">
        <v>57479.175578965398</v>
      </c>
      <c r="AC81" s="10">
        <v>2004</v>
      </c>
      <c r="AD81" s="10">
        <v>8</v>
      </c>
      <c r="AE81" s="10">
        <v>252.004104366967</v>
      </c>
      <c r="AG81" s="10">
        <v>2004</v>
      </c>
      <c r="AH81" s="10">
        <v>8</v>
      </c>
      <c r="AI81" s="10">
        <v>252.000230716826</v>
      </c>
      <c r="AK81" s="10">
        <v>2004</v>
      </c>
      <c r="AL81" s="10">
        <v>8</v>
      </c>
      <c r="AM81" s="10">
        <v>251.997653312745</v>
      </c>
      <c r="AO81" s="10">
        <v>2004</v>
      </c>
      <c r="AP81" s="10">
        <v>8</v>
      </c>
      <c r="AQ81" s="10">
        <v>251.96989541872301</v>
      </c>
      <c r="AS81" s="10">
        <v>2004</v>
      </c>
      <c r="AT81" s="10">
        <v>8</v>
      </c>
      <c r="AU81" s="10">
        <v>251.98660183315999</v>
      </c>
      <c r="AW81" s="10">
        <v>2004</v>
      </c>
      <c r="AX81" s="10">
        <v>8</v>
      </c>
      <c r="AY81" s="10">
        <v>251.98927783810899</v>
      </c>
    </row>
    <row r="82" spans="1:51" x14ac:dyDescent="0.25">
      <c r="A82" s="8">
        <v>2004</v>
      </c>
      <c r="B82" s="8">
        <v>9</v>
      </c>
      <c r="C82" s="10">
        <v>251.04392550770501</v>
      </c>
      <c r="E82" s="10">
        <v>2004</v>
      </c>
      <c r="F82" s="10">
        <v>9</v>
      </c>
      <c r="G82" s="10">
        <v>250.92807912013799</v>
      </c>
      <c r="I82" s="10">
        <v>2004</v>
      </c>
      <c r="J82" s="10">
        <v>9</v>
      </c>
      <c r="K82" s="10">
        <v>250.92884190172899</v>
      </c>
      <c r="M82" s="10">
        <v>2004</v>
      </c>
      <c r="N82" s="10">
        <v>9</v>
      </c>
      <c r="O82" s="10">
        <v>250.91631719842701</v>
      </c>
      <c r="Q82" s="10">
        <v>2004</v>
      </c>
      <c r="R82" s="10">
        <v>9</v>
      </c>
      <c r="S82" s="10">
        <v>250.899928032623</v>
      </c>
      <c r="U82" s="10">
        <v>2004</v>
      </c>
      <c r="V82" s="10">
        <v>9</v>
      </c>
      <c r="W82" s="10">
        <v>250.87206752276799</v>
      </c>
      <c r="Y82" s="17">
        <v>2009</v>
      </c>
      <c r="Z82" s="17">
        <v>9</v>
      </c>
      <c r="AA82" s="17">
        <v>56832.457025023403</v>
      </c>
      <c r="AC82" s="10">
        <v>2004</v>
      </c>
      <c r="AD82" s="10">
        <v>9</v>
      </c>
      <c r="AE82" s="10">
        <v>250.874113177076</v>
      </c>
      <c r="AG82" s="10">
        <v>2004</v>
      </c>
      <c r="AH82" s="10">
        <v>9</v>
      </c>
      <c r="AI82" s="10">
        <v>250.86131101934899</v>
      </c>
      <c r="AK82" s="10">
        <v>2004</v>
      </c>
      <c r="AL82" s="10">
        <v>9</v>
      </c>
      <c r="AM82" s="10">
        <v>250.87218158521699</v>
      </c>
      <c r="AO82" s="10">
        <v>2004</v>
      </c>
      <c r="AP82" s="10">
        <v>9</v>
      </c>
      <c r="AQ82" s="10">
        <v>250.86650252165501</v>
      </c>
      <c r="AS82" s="10">
        <v>2004</v>
      </c>
      <c r="AT82" s="10">
        <v>9</v>
      </c>
      <c r="AU82" s="10">
        <v>250.95595125562201</v>
      </c>
      <c r="AW82" s="10">
        <v>2004</v>
      </c>
      <c r="AX82" s="10">
        <v>9</v>
      </c>
      <c r="AY82" s="10">
        <v>250.95629537323501</v>
      </c>
    </row>
    <row r="83" spans="1:51" x14ac:dyDescent="0.25">
      <c r="A83" s="8">
        <v>2004</v>
      </c>
      <c r="B83" s="8">
        <v>10</v>
      </c>
      <c r="C83" s="10">
        <v>254.677334185663</v>
      </c>
      <c r="E83" s="10">
        <v>2004</v>
      </c>
      <c r="F83" s="10">
        <v>10</v>
      </c>
      <c r="G83" s="10">
        <v>255.520807093549</v>
      </c>
      <c r="I83" s="10">
        <v>2004</v>
      </c>
      <c r="J83" s="10">
        <v>10</v>
      </c>
      <c r="K83" s="10">
        <v>255.511548000711</v>
      </c>
      <c r="M83" s="10">
        <v>2004</v>
      </c>
      <c r="N83" s="10">
        <v>10</v>
      </c>
      <c r="O83" s="10">
        <v>255.55640265599001</v>
      </c>
      <c r="Q83" s="10">
        <v>2004</v>
      </c>
      <c r="R83" s="10">
        <v>10</v>
      </c>
      <c r="S83" s="10">
        <v>255.59569360814299</v>
      </c>
      <c r="U83" s="10">
        <v>2004</v>
      </c>
      <c r="V83" s="10">
        <v>10</v>
      </c>
      <c r="W83" s="10">
        <v>255.65546658505099</v>
      </c>
      <c r="Y83" s="17">
        <v>2009</v>
      </c>
      <c r="Z83" s="17">
        <v>10</v>
      </c>
      <c r="AA83" s="17">
        <v>56373.538977704797</v>
      </c>
      <c r="AC83" s="10">
        <v>2004</v>
      </c>
      <c r="AD83" s="10">
        <v>10</v>
      </c>
      <c r="AE83" s="10">
        <v>255.64958244634599</v>
      </c>
      <c r="AG83" s="10">
        <v>2004</v>
      </c>
      <c r="AH83" s="10">
        <v>10</v>
      </c>
      <c r="AI83" s="10">
        <v>255.676409590671</v>
      </c>
      <c r="AK83" s="10">
        <v>2004</v>
      </c>
      <c r="AL83" s="10">
        <v>10</v>
      </c>
      <c r="AM83" s="10">
        <v>255.639935466911</v>
      </c>
      <c r="AO83" s="10">
        <v>2004</v>
      </c>
      <c r="AP83" s="10">
        <v>10</v>
      </c>
      <c r="AQ83" s="10">
        <v>255.68547662348399</v>
      </c>
      <c r="AS83" s="10">
        <v>2004</v>
      </c>
      <c r="AT83" s="10">
        <v>10</v>
      </c>
      <c r="AU83" s="10">
        <v>255.647268572239</v>
      </c>
      <c r="AW83" s="10">
        <v>2004</v>
      </c>
      <c r="AX83" s="10">
        <v>10</v>
      </c>
      <c r="AY83" s="10">
        <v>255.649432446389</v>
      </c>
    </row>
    <row r="84" spans="1:51" x14ac:dyDescent="0.25">
      <c r="A84" s="8">
        <v>2004</v>
      </c>
      <c r="B84" s="8">
        <v>11</v>
      </c>
      <c r="C84" s="10">
        <v>256.09319529465301</v>
      </c>
      <c r="E84" s="10">
        <v>2004</v>
      </c>
      <c r="F84" s="10">
        <v>11</v>
      </c>
      <c r="G84" s="10">
        <v>255.62823706947199</v>
      </c>
      <c r="I84" s="10">
        <v>2004</v>
      </c>
      <c r="J84" s="10">
        <v>11</v>
      </c>
      <c r="K84" s="10">
        <v>255.631107437667</v>
      </c>
      <c r="M84" s="10">
        <v>2004</v>
      </c>
      <c r="N84" s="10">
        <v>11</v>
      </c>
      <c r="O84" s="10">
        <v>255.60678894987299</v>
      </c>
      <c r="Q84" s="10">
        <v>2004</v>
      </c>
      <c r="R84" s="10">
        <v>11</v>
      </c>
      <c r="S84" s="10">
        <v>255.573127881875</v>
      </c>
      <c r="U84" s="10">
        <v>2004</v>
      </c>
      <c r="V84" s="10">
        <v>11</v>
      </c>
      <c r="W84" s="10">
        <v>255.52201627393401</v>
      </c>
      <c r="Y84" s="17">
        <v>2009</v>
      </c>
      <c r="Z84" s="17">
        <v>11</v>
      </c>
      <c r="AA84" s="17">
        <v>56144.782063806299</v>
      </c>
      <c r="AC84" s="10">
        <v>2004</v>
      </c>
      <c r="AD84" s="10">
        <v>11</v>
      </c>
      <c r="AE84" s="10">
        <v>255.527237144422</v>
      </c>
      <c r="AG84" s="10">
        <v>2004</v>
      </c>
      <c r="AH84" s="10">
        <v>11</v>
      </c>
      <c r="AI84" s="10">
        <v>255.50682038263901</v>
      </c>
      <c r="AK84" s="10">
        <v>2004</v>
      </c>
      <c r="AL84" s="10">
        <v>11</v>
      </c>
      <c r="AM84" s="10">
        <v>255.52747386985601</v>
      </c>
      <c r="AO84" s="10">
        <v>2004</v>
      </c>
      <c r="AP84" s="10">
        <v>11</v>
      </c>
      <c r="AQ84" s="10">
        <v>255.50157685787499</v>
      </c>
      <c r="AS84" s="10">
        <v>2004</v>
      </c>
      <c r="AT84" s="10">
        <v>11</v>
      </c>
      <c r="AU84" s="10">
        <v>255.456166192018</v>
      </c>
      <c r="AW84" s="10">
        <v>2004</v>
      </c>
      <c r="AX84" s="10">
        <v>11</v>
      </c>
      <c r="AY84" s="10">
        <v>255.45675742261699</v>
      </c>
    </row>
    <row r="85" spans="1:51" x14ac:dyDescent="0.25">
      <c r="A85" s="8">
        <v>2004</v>
      </c>
      <c r="B85" s="8">
        <v>12</v>
      </c>
      <c r="C85" s="10">
        <v>256.41149319215202</v>
      </c>
      <c r="E85" s="10">
        <v>2004</v>
      </c>
      <c r="F85" s="10">
        <v>12</v>
      </c>
      <c r="G85" s="10">
        <v>256.60937284353002</v>
      </c>
      <c r="I85" s="10">
        <v>2004</v>
      </c>
      <c r="J85" s="10">
        <v>12</v>
      </c>
      <c r="K85" s="10">
        <v>256.61053157087701</v>
      </c>
      <c r="M85" s="10">
        <v>2004</v>
      </c>
      <c r="N85" s="10">
        <v>12</v>
      </c>
      <c r="O85" s="10">
        <v>256.60427510566802</v>
      </c>
      <c r="Q85" s="10">
        <v>2004</v>
      </c>
      <c r="R85" s="10">
        <v>12</v>
      </c>
      <c r="S85" s="10">
        <v>256.60408794145098</v>
      </c>
      <c r="U85" s="10">
        <v>2004</v>
      </c>
      <c r="V85" s="10">
        <v>12</v>
      </c>
      <c r="W85" s="10">
        <v>256.59619120163001</v>
      </c>
      <c r="Y85" s="17">
        <v>2009</v>
      </c>
      <c r="Z85" s="17">
        <v>12</v>
      </c>
      <c r="AA85" s="17">
        <v>56023.510047071999</v>
      </c>
      <c r="AC85" s="10">
        <v>2004</v>
      </c>
      <c r="AD85" s="10">
        <v>12</v>
      </c>
      <c r="AE85" s="10">
        <v>256.59734607370001</v>
      </c>
      <c r="AG85" s="10">
        <v>2004</v>
      </c>
      <c r="AH85" s="10">
        <v>12</v>
      </c>
      <c r="AI85" s="10">
        <v>256.586428588263</v>
      </c>
      <c r="AK85" s="10">
        <v>2004</v>
      </c>
      <c r="AL85" s="10">
        <v>12</v>
      </c>
      <c r="AM85" s="10">
        <v>256.59237764761798</v>
      </c>
      <c r="AO85" s="10">
        <v>2004</v>
      </c>
      <c r="AP85" s="10">
        <v>12</v>
      </c>
      <c r="AQ85" s="10">
        <v>256.566311255703</v>
      </c>
      <c r="AS85" s="10">
        <v>2004</v>
      </c>
      <c r="AT85" s="10">
        <v>12</v>
      </c>
      <c r="AU85" s="10">
        <v>256.56456620638397</v>
      </c>
      <c r="AW85" s="10">
        <v>2004</v>
      </c>
      <c r="AX85" s="10">
        <v>12</v>
      </c>
      <c r="AY85" s="10">
        <v>256.55982605203599</v>
      </c>
    </row>
    <row r="86" spans="1:51" x14ac:dyDescent="0.25">
      <c r="A86" s="8">
        <v>2005</v>
      </c>
      <c r="B86" s="8">
        <v>1</v>
      </c>
      <c r="C86" s="10">
        <v>255.99583133460899</v>
      </c>
      <c r="E86" s="10">
        <v>2005</v>
      </c>
      <c r="F86" s="10">
        <v>1</v>
      </c>
      <c r="G86" s="10">
        <v>256.99308587427203</v>
      </c>
      <c r="I86" s="10">
        <v>2005</v>
      </c>
      <c r="J86" s="10">
        <v>1</v>
      </c>
      <c r="K86" s="10">
        <v>256.98529513692102</v>
      </c>
      <c r="M86" s="10">
        <v>2005</v>
      </c>
      <c r="N86" s="10">
        <v>1</v>
      </c>
      <c r="O86" s="10">
        <v>257.033209771712</v>
      </c>
      <c r="Q86" s="10">
        <v>2005</v>
      </c>
      <c r="R86" s="10">
        <v>1</v>
      </c>
      <c r="S86" s="10">
        <v>257.08067911299702</v>
      </c>
      <c r="U86" s="10">
        <v>2005</v>
      </c>
      <c r="V86" s="10">
        <v>1</v>
      </c>
      <c r="W86" s="10">
        <v>257.14761872170402</v>
      </c>
      <c r="Y86" s="17">
        <v>2010</v>
      </c>
      <c r="Z86" s="17">
        <v>1</v>
      </c>
      <c r="AA86" s="17">
        <v>55809.127306025897</v>
      </c>
      <c r="AC86" s="10">
        <v>2005</v>
      </c>
      <c r="AD86" s="10">
        <v>1</v>
      </c>
      <c r="AE86" s="10">
        <v>257.143948029733</v>
      </c>
      <c r="AG86" s="10">
        <v>2005</v>
      </c>
      <c r="AH86" s="10">
        <v>1</v>
      </c>
      <c r="AI86" s="10">
        <v>257.17444443248002</v>
      </c>
      <c r="AK86" s="10">
        <v>2005</v>
      </c>
      <c r="AL86" s="10">
        <v>1</v>
      </c>
      <c r="AM86" s="10">
        <v>257.13501292814698</v>
      </c>
      <c r="AO86" s="10">
        <v>2005</v>
      </c>
      <c r="AP86" s="10">
        <v>1</v>
      </c>
      <c r="AQ86" s="10">
        <v>257.17570475306701</v>
      </c>
      <c r="AS86" s="10">
        <v>2005</v>
      </c>
      <c r="AT86" s="10">
        <v>1</v>
      </c>
      <c r="AU86" s="10">
        <v>257.17323275471102</v>
      </c>
      <c r="AW86" s="10">
        <v>2005</v>
      </c>
      <c r="AX86" s="10">
        <v>1</v>
      </c>
      <c r="AY86" s="10">
        <v>257.174911299717</v>
      </c>
    </row>
    <row r="87" spans="1:51" x14ac:dyDescent="0.25">
      <c r="A87" s="8">
        <v>2005</v>
      </c>
      <c r="B87" s="8">
        <v>2</v>
      </c>
      <c r="C87" s="10">
        <v>258.48040633756398</v>
      </c>
      <c r="E87" s="10">
        <v>2005</v>
      </c>
      <c r="F87" s="10">
        <v>2</v>
      </c>
      <c r="G87" s="10">
        <v>258.63206430708601</v>
      </c>
      <c r="I87" s="10">
        <v>2005</v>
      </c>
      <c r="J87" s="10">
        <v>2</v>
      </c>
      <c r="K87" s="10">
        <v>258.63021390280602</v>
      </c>
      <c r="M87" s="10">
        <v>2005</v>
      </c>
      <c r="N87" s="10">
        <v>2</v>
      </c>
      <c r="O87" s="10">
        <v>258.62981219043797</v>
      </c>
      <c r="Q87" s="10">
        <v>2005</v>
      </c>
      <c r="R87" s="10">
        <v>2</v>
      </c>
      <c r="S87" s="10">
        <v>258.608736910397</v>
      </c>
      <c r="U87" s="10">
        <v>2005</v>
      </c>
      <c r="V87" s="10">
        <v>2</v>
      </c>
      <c r="W87" s="10">
        <v>258.64614609457101</v>
      </c>
      <c r="Y87" s="17">
        <v>2010</v>
      </c>
      <c r="Z87" s="17">
        <v>2</v>
      </c>
      <c r="AA87" s="17">
        <v>55477.156241107397</v>
      </c>
      <c r="AC87" s="10">
        <v>2005</v>
      </c>
      <c r="AD87" s="10">
        <v>2</v>
      </c>
      <c r="AE87" s="10">
        <v>258.65140981530101</v>
      </c>
      <c r="AG87" s="10">
        <v>2005</v>
      </c>
      <c r="AH87" s="10">
        <v>2</v>
      </c>
      <c r="AI87" s="10">
        <v>258.651351694342</v>
      </c>
      <c r="AK87" s="10">
        <v>2005</v>
      </c>
      <c r="AL87" s="10">
        <v>2</v>
      </c>
      <c r="AM87" s="10">
        <v>258.65282250790102</v>
      </c>
      <c r="AO87" s="10">
        <v>2005</v>
      </c>
      <c r="AP87" s="10">
        <v>2</v>
      </c>
      <c r="AQ87" s="10">
        <v>258.624555933392</v>
      </c>
      <c r="AS87" s="10">
        <v>2005</v>
      </c>
      <c r="AT87" s="10">
        <v>2</v>
      </c>
      <c r="AU87" s="10">
        <v>258.92553099834299</v>
      </c>
      <c r="AW87" s="10">
        <v>2005</v>
      </c>
      <c r="AX87" s="10">
        <v>2</v>
      </c>
      <c r="AY87" s="10">
        <v>258.96367023351002</v>
      </c>
    </row>
    <row r="88" spans="1:51" x14ac:dyDescent="0.25">
      <c r="A88" s="8">
        <v>2005</v>
      </c>
      <c r="B88" s="8">
        <v>3</v>
      </c>
      <c r="C88" s="10">
        <v>244.75538024326599</v>
      </c>
      <c r="E88" s="10">
        <v>2005</v>
      </c>
      <c r="F88" s="10">
        <v>3</v>
      </c>
      <c r="G88" s="10">
        <v>242.61036747019699</v>
      </c>
      <c r="I88" s="10">
        <v>2005</v>
      </c>
      <c r="J88" s="10">
        <v>3</v>
      </c>
      <c r="K88" s="10">
        <v>242.59735392354901</v>
      </c>
      <c r="M88" s="10">
        <v>2005</v>
      </c>
      <c r="N88" s="10">
        <v>3</v>
      </c>
      <c r="O88" s="10">
        <v>242.56597077311301</v>
      </c>
      <c r="Q88" s="10">
        <v>2005</v>
      </c>
      <c r="R88" s="10">
        <v>3</v>
      </c>
      <c r="S88" s="10">
        <v>242.40518889625801</v>
      </c>
      <c r="U88" s="10">
        <v>2005</v>
      </c>
      <c r="V88" s="10">
        <v>3</v>
      </c>
      <c r="W88" s="10">
        <v>242.08109025509401</v>
      </c>
      <c r="Y88" s="17">
        <v>2010</v>
      </c>
      <c r="Z88" s="17">
        <v>3</v>
      </c>
      <c r="AA88" s="17">
        <v>55183.037077281399</v>
      </c>
      <c r="AC88" s="10">
        <v>2005</v>
      </c>
      <c r="AD88" s="10">
        <v>3</v>
      </c>
      <c r="AE88" s="10">
        <v>242.10450595320501</v>
      </c>
      <c r="AG88" s="10">
        <v>2005</v>
      </c>
      <c r="AH88" s="10">
        <v>3</v>
      </c>
      <c r="AI88" s="10">
        <v>242.09184720578199</v>
      </c>
      <c r="AK88" s="10">
        <v>2005</v>
      </c>
      <c r="AL88" s="10">
        <v>3</v>
      </c>
      <c r="AM88" s="10">
        <v>242.11804105559099</v>
      </c>
      <c r="AO88" s="10">
        <v>2005</v>
      </c>
      <c r="AP88" s="10">
        <v>3</v>
      </c>
      <c r="AQ88" s="10">
        <v>242.05838254964499</v>
      </c>
      <c r="AS88" s="10">
        <v>2005</v>
      </c>
      <c r="AT88" s="10">
        <v>3</v>
      </c>
      <c r="AU88" s="10">
        <v>242.090118073469</v>
      </c>
      <c r="AW88" s="10">
        <v>2005</v>
      </c>
      <c r="AX88" s="10">
        <v>3</v>
      </c>
      <c r="AY88" s="10">
        <v>242.09145661070099</v>
      </c>
    </row>
    <row r="89" spans="1:51" x14ac:dyDescent="0.25">
      <c r="A89" s="8">
        <v>2005</v>
      </c>
      <c r="B89" s="8">
        <v>4</v>
      </c>
      <c r="C89" s="10">
        <v>278.69483049418398</v>
      </c>
      <c r="E89" s="10">
        <v>2005</v>
      </c>
      <c r="F89" s="10">
        <v>4</v>
      </c>
      <c r="G89" s="10">
        <v>281.02604427994498</v>
      </c>
      <c r="I89" s="10">
        <v>2005</v>
      </c>
      <c r="J89" s="10">
        <v>4</v>
      </c>
      <c r="K89" s="10">
        <v>281.05943538973901</v>
      </c>
      <c r="M89" s="10">
        <v>2005</v>
      </c>
      <c r="N89" s="10">
        <v>4</v>
      </c>
      <c r="O89" s="10">
        <v>281.03883321587301</v>
      </c>
      <c r="Q89" s="10">
        <v>2005</v>
      </c>
      <c r="R89" s="10">
        <v>4</v>
      </c>
      <c r="S89" s="10">
        <v>281.19392500601202</v>
      </c>
      <c r="U89" s="10">
        <v>2005</v>
      </c>
      <c r="V89" s="10">
        <v>4</v>
      </c>
      <c r="W89" s="10">
        <v>281.51691470190099</v>
      </c>
      <c r="Y89" s="17">
        <v>2010</v>
      </c>
      <c r="Z89" s="17">
        <v>4</v>
      </c>
      <c r="AA89" s="17">
        <v>56323.692569123901</v>
      </c>
      <c r="AC89" s="10">
        <v>2005</v>
      </c>
      <c r="AD89" s="10">
        <v>4</v>
      </c>
      <c r="AE89" s="10">
        <v>281.51159154638299</v>
      </c>
      <c r="AG89" s="10">
        <v>2005</v>
      </c>
      <c r="AH89" s="10">
        <v>4</v>
      </c>
      <c r="AI89" s="10">
        <v>281.503303001066</v>
      </c>
      <c r="AK89" s="10">
        <v>2005</v>
      </c>
      <c r="AL89" s="10">
        <v>4</v>
      </c>
      <c r="AM89" s="10">
        <v>281.51635431777999</v>
      </c>
      <c r="AO89" s="10">
        <v>2005</v>
      </c>
      <c r="AP89" s="10">
        <v>4</v>
      </c>
      <c r="AQ89" s="10">
        <v>281.645657333087</v>
      </c>
      <c r="AS89" s="10">
        <v>2005</v>
      </c>
      <c r="AT89" s="10">
        <v>4</v>
      </c>
      <c r="AU89" s="10">
        <v>281.847148222665</v>
      </c>
      <c r="AW89" s="10">
        <v>2005</v>
      </c>
      <c r="AX89" s="10">
        <v>4</v>
      </c>
      <c r="AY89" s="10">
        <v>281.84719888662698</v>
      </c>
    </row>
    <row r="90" spans="1:51" x14ac:dyDescent="0.25">
      <c r="A90" s="8">
        <v>2005</v>
      </c>
      <c r="B90" s="8">
        <v>5</v>
      </c>
      <c r="C90" s="10">
        <v>282.23282952550102</v>
      </c>
      <c r="E90" s="10">
        <v>2005</v>
      </c>
      <c r="F90" s="10">
        <v>5</v>
      </c>
      <c r="G90" s="10">
        <v>280.22784988860099</v>
      </c>
      <c r="I90" s="10">
        <v>2005</v>
      </c>
      <c r="J90" s="10">
        <v>5</v>
      </c>
      <c r="K90" s="10">
        <v>280.23106108723402</v>
      </c>
      <c r="M90" s="10">
        <v>2005</v>
      </c>
      <c r="N90" s="10">
        <v>5</v>
      </c>
      <c r="O90" s="10">
        <v>280.22870173950002</v>
      </c>
      <c r="Q90" s="10">
        <v>2005</v>
      </c>
      <c r="R90" s="10">
        <v>5</v>
      </c>
      <c r="S90" s="10">
        <v>280.230594558939</v>
      </c>
      <c r="U90" s="10">
        <v>2005</v>
      </c>
      <c r="V90" s="10">
        <v>5</v>
      </c>
      <c r="W90" s="10">
        <v>280.26097393281202</v>
      </c>
      <c r="Y90" s="17">
        <v>2010</v>
      </c>
      <c r="Z90" s="17">
        <v>5</v>
      </c>
      <c r="AA90" s="17">
        <v>57040.507724946903</v>
      </c>
      <c r="AC90" s="10">
        <v>2005</v>
      </c>
      <c r="AD90" s="10">
        <v>5</v>
      </c>
      <c r="AE90" s="10">
        <v>280.23893696526699</v>
      </c>
      <c r="AG90" s="10">
        <v>2005</v>
      </c>
      <c r="AH90" s="10">
        <v>5</v>
      </c>
      <c r="AI90" s="10">
        <v>280.26089834455399</v>
      </c>
      <c r="AK90" s="10">
        <v>2005</v>
      </c>
      <c r="AL90" s="10">
        <v>5</v>
      </c>
      <c r="AM90" s="10">
        <v>280.26221476218097</v>
      </c>
      <c r="AO90" s="10">
        <v>2005</v>
      </c>
      <c r="AP90" s="10">
        <v>5</v>
      </c>
      <c r="AQ90" s="10">
        <v>280.27160880085103</v>
      </c>
      <c r="AS90" s="10">
        <v>2005</v>
      </c>
      <c r="AT90" s="10">
        <v>5</v>
      </c>
      <c r="AU90" s="10">
        <v>279.96800795120498</v>
      </c>
      <c r="AW90" s="10">
        <v>2005</v>
      </c>
      <c r="AX90" s="10">
        <v>5</v>
      </c>
      <c r="AY90" s="10">
        <v>279.96162744677503</v>
      </c>
    </row>
    <row r="91" spans="1:51" x14ac:dyDescent="0.25">
      <c r="A91" s="8">
        <v>2005</v>
      </c>
      <c r="B91" s="8">
        <v>6</v>
      </c>
      <c r="C91" s="10">
        <v>262.85834002585602</v>
      </c>
      <c r="E91" s="10">
        <v>2005</v>
      </c>
      <c r="F91" s="10">
        <v>6</v>
      </c>
      <c r="G91" s="10">
        <v>263.33744346482501</v>
      </c>
      <c r="I91" s="10">
        <v>2005</v>
      </c>
      <c r="J91" s="10">
        <v>6</v>
      </c>
      <c r="K91" s="10">
        <v>263.33859472194302</v>
      </c>
      <c r="M91" s="10">
        <v>2005</v>
      </c>
      <c r="N91" s="10">
        <v>6</v>
      </c>
      <c r="O91" s="10">
        <v>263.333998908502</v>
      </c>
      <c r="Q91" s="10">
        <v>2005</v>
      </c>
      <c r="R91" s="10">
        <v>6</v>
      </c>
      <c r="S91" s="10">
        <v>263.32607240759199</v>
      </c>
      <c r="U91" s="10">
        <v>2005</v>
      </c>
      <c r="V91" s="10">
        <v>6</v>
      </c>
      <c r="W91" s="10">
        <v>263.31399608324602</v>
      </c>
      <c r="Y91" s="17">
        <v>2010</v>
      </c>
      <c r="Z91" s="17">
        <v>6</v>
      </c>
      <c r="AA91" s="17">
        <v>57429.764020959301</v>
      </c>
      <c r="AC91" s="10">
        <v>2005</v>
      </c>
      <c r="AD91" s="10">
        <v>6</v>
      </c>
      <c r="AE91" s="10">
        <v>263.31207513449101</v>
      </c>
      <c r="AG91" s="10">
        <v>2005</v>
      </c>
      <c r="AH91" s="10">
        <v>6</v>
      </c>
      <c r="AI91" s="10">
        <v>263.31668614184298</v>
      </c>
      <c r="AK91" s="10">
        <v>2005</v>
      </c>
      <c r="AL91" s="10">
        <v>6</v>
      </c>
      <c r="AM91" s="10">
        <v>263.32006372111499</v>
      </c>
      <c r="AO91" s="10">
        <v>2005</v>
      </c>
      <c r="AP91" s="10">
        <v>6</v>
      </c>
      <c r="AQ91" s="10">
        <v>263.27230165819401</v>
      </c>
      <c r="AS91" s="10">
        <v>2005</v>
      </c>
      <c r="AT91" s="10">
        <v>6</v>
      </c>
      <c r="AU91" s="10">
        <v>263.22679724282398</v>
      </c>
      <c r="AW91" s="10">
        <v>2005</v>
      </c>
      <c r="AX91" s="10">
        <v>6</v>
      </c>
      <c r="AY91" s="10">
        <v>263.227366059541</v>
      </c>
    </row>
    <row r="92" spans="1:51" x14ac:dyDescent="0.25">
      <c r="A92" s="8">
        <v>2005</v>
      </c>
      <c r="B92" s="8">
        <v>7</v>
      </c>
      <c r="C92" s="10">
        <v>260.40609370924699</v>
      </c>
      <c r="E92" s="10">
        <v>2005</v>
      </c>
      <c r="F92" s="10">
        <v>7</v>
      </c>
      <c r="G92" s="10">
        <v>261.25739815942001</v>
      </c>
      <c r="I92" s="10">
        <v>2005</v>
      </c>
      <c r="J92" s="10">
        <v>7</v>
      </c>
      <c r="K92" s="10">
        <v>261.24585684224201</v>
      </c>
      <c r="M92" s="10">
        <v>2005</v>
      </c>
      <c r="N92" s="10">
        <v>7</v>
      </c>
      <c r="O92" s="10">
        <v>261.28771059518499</v>
      </c>
      <c r="Q92" s="10">
        <v>2005</v>
      </c>
      <c r="R92" s="10">
        <v>7</v>
      </c>
      <c r="S92" s="10">
        <v>261.32588920266397</v>
      </c>
      <c r="U92" s="10">
        <v>2005</v>
      </c>
      <c r="V92" s="10">
        <v>7</v>
      </c>
      <c r="W92" s="10">
        <v>261.37729069238702</v>
      </c>
      <c r="Y92" s="17">
        <v>2010</v>
      </c>
      <c r="Z92" s="17">
        <v>7</v>
      </c>
      <c r="AA92" s="17">
        <v>57620.794767302301</v>
      </c>
      <c r="AC92" s="10">
        <v>2005</v>
      </c>
      <c r="AD92" s="10">
        <v>7</v>
      </c>
      <c r="AE92" s="10">
        <v>261.370830548279</v>
      </c>
      <c r="AG92" s="10">
        <v>2005</v>
      </c>
      <c r="AH92" s="10">
        <v>7</v>
      </c>
      <c r="AI92" s="10">
        <v>261.39098535220199</v>
      </c>
      <c r="AK92" s="10">
        <v>2005</v>
      </c>
      <c r="AL92" s="10">
        <v>7</v>
      </c>
      <c r="AM92" s="10">
        <v>261.357711779765</v>
      </c>
      <c r="AO92" s="10">
        <v>2005</v>
      </c>
      <c r="AP92" s="10">
        <v>7</v>
      </c>
      <c r="AQ92" s="10">
        <v>261.378434223331</v>
      </c>
      <c r="AS92" s="10">
        <v>2005</v>
      </c>
      <c r="AT92" s="10">
        <v>7</v>
      </c>
      <c r="AU92" s="10">
        <v>261.33108231716898</v>
      </c>
      <c r="AW92" s="10">
        <v>2005</v>
      </c>
      <c r="AX92" s="10">
        <v>7</v>
      </c>
      <c r="AY92" s="10">
        <v>261.33321111724803</v>
      </c>
    </row>
    <row r="93" spans="1:51" x14ac:dyDescent="0.25">
      <c r="A93" s="8">
        <v>2005</v>
      </c>
      <c r="B93" s="8">
        <v>8</v>
      </c>
      <c r="C93" s="10">
        <v>262.22755792152702</v>
      </c>
      <c r="E93" s="10">
        <v>2005</v>
      </c>
      <c r="F93" s="10">
        <v>8</v>
      </c>
      <c r="G93" s="10">
        <v>260.62819218944401</v>
      </c>
      <c r="I93" s="10">
        <v>2005</v>
      </c>
      <c r="J93" s="10">
        <v>8</v>
      </c>
      <c r="K93" s="10">
        <v>260.62824495617002</v>
      </c>
      <c r="M93" s="10">
        <v>2005</v>
      </c>
      <c r="N93" s="10">
        <v>8</v>
      </c>
      <c r="O93" s="10">
        <v>260.57913942310603</v>
      </c>
      <c r="Q93" s="10">
        <v>2005</v>
      </c>
      <c r="R93" s="10">
        <v>8</v>
      </c>
      <c r="S93" s="10">
        <v>260.50339168327599</v>
      </c>
      <c r="U93" s="10">
        <v>2005</v>
      </c>
      <c r="V93" s="10">
        <v>8</v>
      </c>
      <c r="W93" s="10">
        <v>260.37508172373202</v>
      </c>
      <c r="Y93" s="17">
        <v>2010</v>
      </c>
      <c r="Z93" s="17">
        <v>8</v>
      </c>
      <c r="AA93" s="17">
        <v>58057.851230478998</v>
      </c>
      <c r="AC93" s="10">
        <v>2005</v>
      </c>
      <c r="AD93" s="10">
        <v>8</v>
      </c>
      <c r="AE93" s="10">
        <v>260.38454670673502</v>
      </c>
      <c r="AG93" s="10">
        <v>2005</v>
      </c>
      <c r="AH93" s="10">
        <v>8</v>
      </c>
      <c r="AI93" s="10">
        <v>260.33569383567999</v>
      </c>
      <c r="AK93" s="10">
        <v>2005</v>
      </c>
      <c r="AL93" s="10">
        <v>8</v>
      </c>
      <c r="AM93" s="10">
        <v>260.37736186841403</v>
      </c>
      <c r="AO93" s="10">
        <v>2005</v>
      </c>
      <c r="AP93" s="10">
        <v>8</v>
      </c>
      <c r="AQ93" s="10">
        <v>260.27449093459398</v>
      </c>
      <c r="AS93" s="10">
        <v>2005</v>
      </c>
      <c r="AT93" s="10">
        <v>8</v>
      </c>
      <c r="AU93" s="10">
        <v>260.33073723236902</v>
      </c>
      <c r="AW93" s="10">
        <v>2005</v>
      </c>
      <c r="AX93" s="10">
        <v>8</v>
      </c>
      <c r="AY93" s="10">
        <v>260.32895135725698</v>
      </c>
    </row>
    <row r="94" spans="1:51" x14ac:dyDescent="0.25">
      <c r="A94" s="8">
        <v>2005</v>
      </c>
      <c r="B94" s="8">
        <v>9</v>
      </c>
      <c r="C94" s="10">
        <v>261.32828872016597</v>
      </c>
      <c r="E94" s="10">
        <v>2005</v>
      </c>
      <c r="F94" s="10">
        <v>9</v>
      </c>
      <c r="G94" s="10">
        <v>261.37962909489602</v>
      </c>
      <c r="I94" s="10">
        <v>2005</v>
      </c>
      <c r="J94" s="10">
        <v>9</v>
      </c>
      <c r="K94" s="10">
        <v>261.37847021083502</v>
      </c>
      <c r="M94" s="10">
        <v>2005</v>
      </c>
      <c r="N94" s="10">
        <v>9</v>
      </c>
      <c r="O94" s="10">
        <v>261.37372995236399</v>
      </c>
      <c r="Q94" s="10">
        <v>2005</v>
      </c>
      <c r="R94" s="10">
        <v>9</v>
      </c>
      <c r="S94" s="10">
        <v>261.36275311756299</v>
      </c>
      <c r="U94" s="10">
        <v>2005</v>
      </c>
      <c r="V94" s="10">
        <v>9</v>
      </c>
      <c r="W94" s="10">
        <v>261.343343670161</v>
      </c>
      <c r="Y94" s="17">
        <v>2010</v>
      </c>
      <c r="Z94" s="17">
        <v>9</v>
      </c>
      <c r="AA94" s="17">
        <v>58169.062056164701</v>
      </c>
      <c r="AC94" s="10">
        <v>2005</v>
      </c>
      <c r="AD94" s="10">
        <v>9</v>
      </c>
      <c r="AE94" s="10">
        <v>261.34499303059101</v>
      </c>
      <c r="AG94" s="10">
        <v>2005</v>
      </c>
      <c r="AH94" s="10">
        <v>9</v>
      </c>
      <c r="AI94" s="10">
        <v>261.33540758607103</v>
      </c>
      <c r="AK94" s="10">
        <v>2005</v>
      </c>
      <c r="AL94" s="10">
        <v>9</v>
      </c>
      <c r="AM94" s="10">
        <v>261.33998696388898</v>
      </c>
      <c r="AO94" s="10">
        <v>2005</v>
      </c>
      <c r="AP94" s="10">
        <v>9</v>
      </c>
      <c r="AQ94" s="10">
        <v>261.367116691462</v>
      </c>
      <c r="AS94" s="10">
        <v>2005</v>
      </c>
      <c r="AT94" s="10">
        <v>9</v>
      </c>
      <c r="AU94" s="10">
        <v>261.52991054127199</v>
      </c>
      <c r="AW94" s="10">
        <v>2005</v>
      </c>
      <c r="AX94" s="10">
        <v>9</v>
      </c>
      <c r="AY94" s="10">
        <v>261.53220537016801</v>
      </c>
    </row>
    <row r="95" spans="1:51" x14ac:dyDescent="0.25">
      <c r="A95" s="8">
        <v>2005</v>
      </c>
      <c r="B95" s="8">
        <v>10</v>
      </c>
      <c r="C95" s="10">
        <v>265.637609540808</v>
      </c>
      <c r="E95" s="10">
        <v>2005</v>
      </c>
      <c r="F95" s="10">
        <v>10</v>
      </c>
      <c r="G95" s="10">
        <v>266.43054583882503</v>
      </c>
      <c r="I95" s="10">
        <v>2005</v>
      </c>
      <c r="J95" s="10">
        <v>10</v>
      </c>
      <c r="K95" s="10">
        <v>266.42146606776299</v>
      </c>
      <c r="M95" s="10">
        <v>2005</v>
      </c>
      <c r="N95" s="10">
        <v>10</v>
      </c>
      <c r="O95" s="10">
        <v>266.46083856967698</v>
      </c>
      <c r="Q95" s="10">
        <v>2005</v>
      </c>
      <c r="R95" s="10">
        <v>10</v>
      </c>
      <c r="S95" s="10">
        <v>266.49203244317198</v>
      </c>
      <c r="U95" s="10">
        <v>2005</v>
      </c>
      <c r="V95" s="10">
        <v>10</v>
      </c>
      <c r="W95" s="10">
        <v>266.539314630305</v>
      </c>
      <c r="Y95" s="17">
        <v>2010</v>
      </c>
      <c r="Z95" s="17">
        <v>10</v>
      </c>
      <c r="AA95" s="17">
        <v>58956.459742983701</v>
      </c>
      <c r="AC95" s="10">
        <v>2005</v>
      </c>
      <c r="AD95" s="10">
        <v>10</v>
      </c>
      <c r="AE95" s="10">
        <v>266.53464898923602</v>
      </c>
      <c r="AG95" s="10">
        <v>2005</v>
      </c>
      <c r="AH95" s="10">
        <v>10</v>
      </c>
      <c r="AI95" s="10">
        <v>266.555293654943</v>
      </c>
      <c r="AK95" s="10">
        <v>2005</v>
      </c>
      <c r="AL95" s="10">
        <v>10</v>
      </c>
      <c r="AM95" s="10">
        <v>266.52341425032398</v>
      </c>
      <c r="AO95" s="10">
        <v>2005</v>
      </c>
      <c r="AP95" s="10">
        <v>10</v>
      </c>
      <c r="AQ95" s="10">
        <v>266.56423254567898</v>
      </c>
      <c r="AS95" s="10">
        <v>2005</v>
      </c>
      <c r="AT95" s="10">
        <v>10</v>
      </c>
      <c r="AU95" s="10">
        <v>266.52710666286902</v>
      </c>
      <c r="AW95" s="10">
        <v>2005</v>
      </c>
      <c r="AX95" s="10">
        <v>10</v>
      </c>
      <c r="AY95" s="10">
        <v>266.52888493155302</v>
      </c>
    </row>
    <row r="96" spans="1:51" x14ac:dyDescent="0.25">
      <c r="A96" s="8">
        <v>2005</v>
      </c>
      <c r="B96" s="8">
        <v>11</v>
      </c>
      <c r="C96" s="10">
        <v>261.491348058607</v>
      </c>
      <c r="E96" s="10">
        <v>2005</v>
      </c>
      <c r="F96" s="10">
        <v>11</v>
      </c>
      <c r="G96" s="10">
        <v>260.87686509498201</v>
      </c>
      <c r="I96" s="10">
        <v>2005</v>
      </c>
      <c r="J96" s="10">
        <v>11</v>
      </c>
      <c r="K96" s="10">
        <v>260.88025692182299</v>
      </c>
      <c r="M96" s="10">
        <v>2005</v>
      </c>
      <c r="N96" s="10">
        <v>11</v>
      </c>
      <c r="O96" s="10">
        <v>260.85387214142298</v>
      </c>
      <c r="Q96" s="10">
        <v>2005</v>
      </c>
      <c r="R96" s="10">
        <v>11</v>
      </c>
      <c r="S96" s="10">
        <v>260.812488627081</v>
      </c>
      <c r="U96" s="10">
        <v>2005</v>
      </c>
      <c r="V96" s="10">
        <v>11</v>
      </c>
      <c r="W96" s="10">
        <v>260.75438224968798</v>
      </c>
      <c r="Y96" s="17">
        <v>2010</v>
      </c>
      <c r="Z96" s="17">
        <v>11</v>
      </c>
      <c r="AA96" s="17">
        <v>59473.0040006134</v>
      </c>
      <c r="AC96" s="10">
        <v>2005</v>
      </c>
      <c r="AD96" s="10">
        <v>11</v>
      </c>
      <c r="AE96" s="10">
        <v>260.76077671675398</v>
      </c>
      <c r="AG96" s="10">
        <v>2005</v>
      </c>
      <c r="AH96" s="10">
        <v>11</v>
      </c>
      <c r="AI96" s="10">
        <v>260.73973573806501</v>
      </c>
      <c r="AK96" s="10">
        <v>2005</v>
      </c>
      <c r="AL96" s="10">
        <v>11</v>
      </c>
      <c r="AM96" s="10">
        <v>260.76211837540302</v>
      </c>
      <c r="AO96" s="10">
        <v>2005</v>
      </c>
      <c r="AP96" s="10">
        <v>11</v>
      </c>
      <c r="AQ96" s="10">
        <v>260.75227371643302</v>
      </c>
      <c r="AS96" s="10">
        <v>2005</v>
      </c>
      <c r="AT96" s="10">
        <v>11</v>
      </c>
      <c r="AU96" s="10">
        <v>260.63493830685599</v>
      </c>
      <c r="AW96" s="10">
        <v>2005</v>
      </c>
      <c r="AX96" s="10">
        <v>11</v>
      </c>
      <c r="AY96" s="10">
        <v>260.637245048826</v>
      </c>
    </row>
    <row r="97" spans="1:51" x14ac:dyDescent="0.25">
      <c r="A97" s="8">
        <v>2005</v>
      </c>
      <c r="B97" s="8">
        <v>12</v>
      </c>
      <c r="C97" s="10">
        <v>257.702358028373</v>
      </c>
      <c r="E97" s="10">
        <v>2005</v>
      </c>
      <c r="F97" s="10">
        <v>12</v>
      </c>
      <c r="G97" s="10">
        <v>258.87861366319697</v>
      </c>
      <c r="I97" s="10">
        <v>2005</v>
      </c>
      <c r="J97" s="10">
        <v>12</v>
      </c>
      <c r="K97" s="10">
        <v>258.87219345638903</v>
      </c>
      <c r="M97" s="10">
        <v>2005</v>
      </c>
      <c r="N97" s="10">
        <v>12</v>
      </c>
      <c r="O97" s="10">
        <v>258.91576101516603</v>
      </c>
      <c r="Q97" s="10">
        <v>2005</v>
      </c>
      <c r="R97" s="10">
        <v>12</v>
      </c>
      <c r="S97" s="10">
        <v>258.96624125913002</v>
      </c>
      <c r="U97" s="10">
        <v>2005</v>
      </c>
      <c r="V97" s="10">
        <v>12</v>
      </c>
      <c r="W97" s="10">
        <v>259.03845814699201</v>
      </c>
      <c r="Y97" s="17">
        <v>2010</v>
      </c>
      <c r="Z97" s="17">
        <v>12</v>
      </c>
      <c r="AA97" s="17">
        <v>60675.125258923697</v>
      </c>
      <c r="AC97" s="10">
        <v>2005</v>
      </c>
      <c r="AD97" s="10">
        <v>12</v>
      </c>
      <c r="AE97" s="10">
        <v>259.03219140798501</v>
      </c>
      <c r="AG97" s="10">
        <v>2005</v>
      </c>
      <c r="AH97" s="10">
        <v>12</v>
      </c>
      <c r="AI97" s="10">
        <v>259.05536897261101</v>
      </c>
      <c r="AK97" s="10">
        <v>2005</v>
      </c>
      <c r="AL97" s="10">
        <v>12</v>
      </c>
      <c r="AM97" s="10">
        <v>259.02011853363501</v>
      </c>
      <c r="AO97" s="10">
        <v>2005</v>
      </c>
      <c r="AP97" s="10">
        <v>12</v>
      </c>
      <c r="AQ97" s="10">
        <v>259.05968215527298</v>
      </c>
      <c r="AS97" s="10">
        <v>2005</v>
      </c>
      <c r="AT97" s="10">
        <v>12</v>
      </c>
      <c r="AU97" s="10">
        <v>259.00800898377503</v>
      </c>
      <c r="AW97" s="10">
        <v>2005</v>
      </c>
      <c r="AX97" s="10">
        <v>12</v>
      </c>
      <c r="AY97" s="10">
        <v>259.00331659965298</v>
      </c>
    </row>
    <row r="98" spans="1:51" x14ac:dyDescent="0.25">
      <c r="A98" s="8">
        <v>2006</v>
      </c>
      <c r="B98" s="8">
        <v>1</v>
      </c>
      <c r="C98" s="10">
        <v>259.890521790094</v>
      </c>
      <c r="E98" s="10">
        <v>2006</v>
      </c>
      <c r="F98" s="10">
        <v>1</v>
      </c>
      <c r="G98" s="10">
        <v>260.16424236154199</v>
      </c>
      <c r="I98" s="10">
        <v>2006</v>
      </c>
      <c r="J98" s="10">
        <v>1</v>
      </c>
      <c r="K98" s="10">
        <v>260.16418852650298</v>
      </c>
      <c r="M98" s="10">
        <v>2006</v>
      </c>
      <c r="N98" s="10">
        <v>1</v>
      </c>
      <c r="O98" s="10">
        <v>260.16588619945202</v>
      </c>
      <c r="Q98" s="10">
        <v>2006</v>
      </c>
      <c r="R98" s="10">
        <v>1</v>
      </c>
      <c r="S98" s="10">
        <v>260.15754104931602</v>
      </c>
      <c r="U98" s="10">
        <v>2006</v>
      </c>
      <c r="V98" s="10">
        <v>1</v>
      </c>
      <c r="W98" s="10">
        <v>260.14317069876699</v>
      </c>
      <c r="Y98" s="17">
        <v>2011</v>
      </c>
      <c r="Z98" s="17">
        <v>1</v>
      </c>
      <c r="AA98" s="17">
        <v>61774.494720561997</v>
      </c>
      <c r="AC98" s="10">
        <v>2006</v>
      </c>
      <c r="AD98" s="10">
        <v>1</v>
      </c>
      <c r="AE98" s="10">
        <v>260.14729873589698</v>
      </c>
      <c r="AG98" s="10">
        <v>2006</v>
      </c>
      <c r="AH98" s="10">
        <v>1</v>
      </c>
      <c r="AI98" s="10">
        <v>260.14427772939501</v>
      </c>
      <c r="AK98" s="10">
        <v>2006</v>
      </c>
      <c r="AL98" s="10">
        <v>1</v>
      </c>
      <c r="AM98" s="10">
        <v>260.14260192419499</v>
      </c>
      <c r="AO98" s="10">
        <v>2006</v>
      </c>
      <c r="AP98" s="10">
        <v>1</v>
      </c>
      <c r="AQ98" s="10">
        <v>260.13421209963298</v>
      </c>
      <c r="AS98" s="10">
        <v>2006</v>
      </c>
      <c r="AT98" s="10">
        <v>1</v>
      </c>
      <c r="AU98" s="10">
        <v>260.19334246480901</v>
      </c>
      <c r="AW98" s="10">
        <v>2006</v>
      </c>
      <c r="AX98" s="10">
        <v>1</v>
      </c>
      <c r="AY98" s="10">
        <v>260.19224403305901</v>
      </c>
    </row>
    <row r="99" spans="1:51" x14ac:dyDescent="0.25">
      <c r="A99" s="8">
        <v>2006</v>
      </c>
      <c r="B99" s="8">
        <v>2</v>
      </c>
      <c r="C99" s="10">
        <v>249.699946629875</v>
      </c>
      <c r="E99" s="10">
        <v>2006</v>
      </c>
      <c r="F99" s="10">
        <v>2</v>
      </c>
      <c r="G99" s="10">
        <v>249.88052271511799</v>
      </c>
      <c r="I99" s="10">
        <v>2006</v>
      </c>
      <c r="J99" s="10">
        <v>2</v>
      </c>
      <c r="K99" s="10">
        <v>249.88013848865799</v>
      </c>
      <c r="M99" s="10">
        <v>2006</v>
      </c>
      <c r="N99" s="10">
        <v>2</v>
      </c>
      <c r="O99" s="10">
        <v>249.875109923254</v>
      </c>
      <c r="Q99" s="10">
        <v>2006</v>
      </c>
      <c r="R99" s="10">
        <v>2</v>
      </c>
      <c r="S99" s="10">
        <v>249.83819972581799</v>
      </c>
      <c r="U99" s="10">
        <v>2006</v>
      </c>
      <c r="V99" s="10">
        <v>2</v>
      </c>
      <c r="W99" s="10">
        <v>249.85683055804199</v>
      </c>
      <c r="Y99" s="17">
        <v>2011</v>
      </c>
      <c r="Z99" s="17">
        <v>2</v>
      </c>
      <c r="AA99" s="17">
        <v>62819.383924202099</v>
      </c>
      <c r="AC99" s="10">
        <v>2006</v>
      </c>
      <c r="AD99" s="10">
        <v>2</v>
      </c>
      <c r="AE99" s="10">
        <v>249.864590663564</v>
      </c>
      <c r="AG99" s="10">
        <v>2006</v>
      </c>
      <c r="AH99" s="10">
        <v>2</v>
      </c>
      <c r="AI99" s="10">
        <v>249.861305359997</v>
      </c>
      <c r="AK99" s="10">
        <v>2006</v>
      </c>
      <c r="AL99" s="10">
        <v>2</v>
      </c>
      <c r="AM99" s="10">
        <v>249.86593076981001</v>
      </c>
      <c r="AO99" s="10">
        <v>2006</v>
      </c>
      <c r="AP99" s="10">
        <v>2</v>
      </c>
      <c r="AQ99" s="10">
        <v>249.84218856362699</v>
      </c>
      <c r="AS99" s="10">
        <v>2006</v>
      </c>
      <c r="AT99" s="10">
        <v>2</v>
      </c>
      <c r="AU99" s="10">
        <v>250.17202257270901</v>
      </c>
      <c r="AW99" s="10">
        <v>2006</v>
      </c>
      <c r="AX99" s="10">
        <v>2</v>
      </c>
      <c r="AY99" s="10">
        <v>250.209178576818</v>
      </c>
    </row>
    <row r="100" spans="1:51" x14ac:dyDescent="0.25">
      <c r="A100" s="8">
        <v>2006</v>
      </c>
      <c r="B100" s="8">
        <v>3</v>
      </c>
      <c r="C100" s="10">
        <v>250.14338827306599</v>
      </c>
      <c r="E100" s="10">
        <v>2006</v>
      </c>
      <c r="F100" s="10">
        <v>3</v>
      </c>
      <c r="G100" s="10">
        <v>250.02110702232301</v>
      </c>
      <c r="I100" s="10">
        <v>2006</v>
      </c>
      <c r="J100" s="10">
        <v>3</v>
      </c>
      <c r="K100" s="10">
        <v>250.02788947960701</v>
      </c>
      <c r="M100" s="10">
        <v>2006</v>
      </c>
      <c r="N100" s="10">
        <v>3</v>
      </c>
      <c r="O100" s="10">
        <v>250.00946347665899</v>
      </c>
      <c r="Q100" s="10">
        <v>2006</v>
      </c>
      <c r="R100" s="10">
        <v>3</v>
      </c>
      <c r="S100" s="10">
        <v>250.08967346643399</v>
      </c>
      <c r="U100" s="10">
        <v>2006</v>
      </c>
      <c r="V100" s="10">
        <v>3</v>
      </c>
      <c r="W100" s="10">
        <v>250.14776288326701</v>
      </c>
      <c r="Y100" s="17">
        <v>2011</v>
      </c>
      <c r="Z100" s="17">
        <v>3</v>
      </c>
      <c r="AA100" s="17">
        <v>63470.138193060498</v>
      </c>
      <c r="AC100" s="10">
        <v>2006</v>
      </c>
      <c r="AD100" s="10">
        <v>3</v>
      </c>
      <c r="AE100" s="10">
        <v>250.15628014255901</v>
      </c>
      <c r="AG100" s="10">
        <v>2006</v>
      </c>
      <c r="AH100" s="10">
        <v>3</v>
      </c>
      <c r="AI100" s="10">
        <v>250.147508987762</v>
      </c>
      <c r="AK100" s="10">
        <v>2006</v>
      </c>
      <c r="AL100" s="10">
        <v>3</v>
      </c>
      <c r="AM100" s="10">
        <v>250.16433633203201</v>
      </c>
      <c r="AO100" s="10">
        <v>2006</v>
      </c>
      <c r="AP100" s="10">
        <v>3</v>
      </c>
      <c r="AQ100" s="10">
        <v>250.103916924326</v>
      </c>
      <c r="AS100" s="10">
        <v>2006</v>
      </c>
      <c r="AT100" s="10">
        <v>3</v>
      </c>
      <c r="AU100" s="10">
        <v>250.195699086753</v>
      </c>
      <c r="AW100" s="10">
        <v>2006</v>
      </c>
      <c r="AX100" s="10">
        <v>3</v>
      </c>
      <c r="AY100" s="10">
        <v>250.198760114436</v>
      </c>
    </row>
    <row r="101" spans="1:51" x14ac:dyDescent="0.25">
      <c r="A101" s="8">
        <v>2006</v>
      </c>
      <c r="B101" s="8">
        <v>4</v>
      </c>
      <c r="C101" s="10">
        <v>230.21007340519299</v>
      </c>
      <c r="E101" s="10">
        <v>2006</v>
      </c>
      <c r="F101" s="10">
        <v>4</v>
      </c>
      <c r="G101" s="10">
        <v>231.447503101888</v>
      </c>
      <c r="I101" s="10">
        <v>2006</v>
      </c>
      <c r="J101" s="10">
        <v>4</v>
      </c>
      <c r="K101" s="10">
        <v>231.45499532878799</v>
      </c>
      <c r="M101" s="10">
        <v>2006</v>
      </c>
      <c r="N101" s="10">
        <v>4</v>
      </c>
      <c r="O101" s="10">
        <v>231.480403979269</v>
      </c>
      <c r="Q101" s="10">
        <v>2006</v>
      </c>
      <c r="R101" s="10">
        <v>4</v>
      </c>
      <c r="S101" s="10">
        <v>231.50532022927399</v>
      </c>
      <c r="U101" s="10">
        <v>2006</v>
      </c>
      <c r="V101" s="10">
        <v>4</v>
      </c>
      <c r="W101" s="10">
        <v>231.584446643246</v>
      </c>
      <c r="Y101" s="17">
        <v>2011</v>
      </c>
      <c r="Z101" s="17">
        <v>4</v>
      </c>
      <c r="AA101" s="17">
        <v>64219.399356595597</v>
      </c>
      <c r="AC101" s="10">
        <v>2006</v>
      </c>
      <c r="AD101" s="10">
        <v>4</v>
      </c>
      <c r="AE101" s="10">
        <v>231.589912752033</v>
      </c>
      <c r="AG101" s="10">
        <v>2006</v>
      </c>
      <c r="AH101" s="10">
        <v>4</v>
      </c>
      <c r="AI101" s="10">
        <v>231.620690283415</v>
      </c>
      <c r="AK101" s="10">
        <v>2006</v>
      </c>
      <c r="AL101" s="10">
        <v>4</v>
      </c>
      <c r="AM101" s="10">
        <v>231.59557799783599</v>
      </c>
      <c r="AO101" s="10">
        <v>2006</v>
      </c>
      <c r="AP101" s="10">
        <v>4</v>
      </c>
      <c r="AQ101" s="10">
        <v>231.761554991239</v>
      </c>
      <c r="AS101" s="10">
        <v>2006</v>
      </c>
      <c r="AT101" s="10">
        <v>4</v>
      </c>
      <c r="AU101" s="10">
        <v>231.94401593452301</v>
      </c>
      <c r="AW101" s="10">
        <v>2006</v>
      </c>
      <c r="AX101" s="10">
        <v>4</v>
      </c>
      <c r="AY101" s="10">
        <v>231.94589934497401</v>
      </c>
    </row>
    <row r="102" spans="1:51" x14ac:dyDescent="0.25">
      <c r="A102" s="8">
        <v>2006</v>
      </c>
      <c r="B102" s="8">
        <v>5</v>
      </c>
      <c r="C102" s="10">
        <v>228.691036257929</v>
      </c>
      <c r="E102" s="10">
        <v>2006</v>
      </c>
      <c r="F102" s="10">
        <v>5</v>
      </c>
      <c r="G102" s="10">
        <v>225.69572338569901</v>
      </c>
      <c r="I102" s="10">
        <v>2006</v>
      </c>
      <c r="J102" s="10">
        <v>5</v>
      </c>
      <c r="K102" s="10">
        <v>225.704848038915</v>
      </c>
      <c r="M102" s="10">
        <v>2006</v>
      </c>
      <c r="N102" s="10">
        <v>5</v>
      </c>
      <c r="O102" s="10">
        <v>225.66534921314499</v>
      </c>
      <c r="Q102" s="10">
        <v>2006</v>
      </c>
      <c r="R102" s="10">
        <v>5</v>
      </c>
      <c r="S102" s="10">
        <v>225.61932574390499</v>
      </c>
      <c r="U102" s="10">
        <v>2006</v>
      </c>
      <c r="V102" s="10">
        <v>5</v>
      </c>
      <c r="W102" s="10">
        <v>225.59105711273199</v>
      </c>
      <c r="Y102" s="17">
        <v>2011</v>
      </c>
      <c r="Z102" s="17">
        <v>5</v>
      </c>
      <c r="AA102" s="17">
        <v>65351.747467903901</v>
      </c>
      <c r="AC102" s="10">
        <v>2006</v>
      </c>
      <c r="AD102" s="10">
        <v>5</v>
      </c>
      <c r="AE102" s="10">
        <v>225.56759406862301</v>
      </c>
      <c r="AG102" s="10">
        <v>2006</v>
      </c>
      <c r="AH102" s="10">
        <v>5</v>
      </c>
      <c r="AI102" s="10">
        <v>225.57253833731099</v>
      </c>
      <c r="AK102" s="10">
        <v>2006</v>
      </c>
      <c r="AL102" s="10">
        <v>5</v>
      </c>
      <c r="AM102" s="10">
        <v>225.603714929734</v>
      </c>
      <c r="AO102" s="10">
        <v>2006</v>
      </c>
      <c r="AP102" s="10">
        <v>5</v>
      </c>
      <c r="AQ102" s="10">
        <v>225.54339629433201</v>
      </c>
      <c r="AS102" s="10">
        <v>2006</v>
      </c>
      <c r="AT102" s="10">
        <v>5</v>
      </c>
      <c r="AU102" s="10">
        <v>225.274146278252</v>
      </c>
      <c r="AW102" s="10">
        <v>2006</v>
      </c>
      <c r="AX102" s="10">
        <v>5</v>
      </c>
      <c r="AY102" s="10">
        <v>225.26707322955301</v>
      </c>
    </row>
    <row r="103" spans="1:51" x14ac:dyDescent="0.25">
      <c r="A103" s="8">
        <v>2006</v>
      </c>
      <c r="B103" s="8">
        <v>6</v>
      </c>
      <c r="C103" s="10">
        <v>237.75429031662799</v>
      </c>
      <c r="E103" s="10">
        <v>2006</v>
      </c>
      <c r="F103" s="10">
        <v>6</v>
      </c>
      <c r="G103" s="10">
        <v>238.595357713949</v>
      </c>
      <c r="I103" s="10">
        <v>2006</v>
      </c>
      <c r="J103" s="10">
        <v>6</v>
      </c>
      <c r="K103" s="10">
        <v>238.59988701898499</v>
      </c>
      <c r="M103" s="10">
        <v>2006</v>
      </c>
      <c r="N103" s="10">
        <v>6</v>
      </c>
      <c r="O103" s="10">
        <v>238.590525674514</v>
      </c>
      <c r="Q103" s="10">
        <v>2006</v>
      </c>
      <c r="R103" s="10">
        <v>6</v>
      </c>
      <c r="S103" s="10">
        <v>238.572669303156</v>
      </c>
      <c r="U103" s="10">
        <v>2006</v>
      </c>
      <c r="V103" s="10">
        <v>6</v>
      </c>
      <c r="W103" s="10">
        <v>238.55609796426401</v>
      </c>
      <c r="Y103" s="17">
        <v>2011</v>
      </c>
      <c r="Z103" s="17">
        <v>6</v>
      </c>
      <c r="AA103" s="17">
        <v>66538.3592703826</v>
      </c>
      <c r="AC103" s="10">
        <v>2006</v>
      </c>
      <c r="AD103" s="10">
        <v>6</v>
      </c>
      <c r="AE103" s="10">
        <v>238.551071964367</v>
      </c>
      <c r="AG103" s="10">
        <v>2006</v>
      </c>
      <c r="AH103" s="10">
        <v>6</v>
      </c>
      <c r="AI103" s="10">
        <v>238.56546792927901</v>
      </c>
      <c r="AK103" s="10">
        <v>2006</v>
      </c>
      <c r="AL103" s="10">
        <v>6</v>
      </c>
      <c r="AM103" s="10">
        <v>238.571529710801</v>
      </c>
      <c r="AO103" s="10">
        <v>2006</v>
      </c>
      <c r="AP103" s="10">
        <v>6</v>
      </c>
      <c r="AQ103" s="10">
        <v>238.50285586753799</v>
      </c>
      <c r="AS103" s="10">
        <v>2006</v>
      </c>
      <c r="AT103" s="10">
        <v>6</v>
      </c>
      <c r="AU103" s="10">
        <v>238.317200948883</v>
      </c>
      <c r="AW103" s="10">
        <v>2006</v>
      </c>
      <c r="AX103" s="10">
        <v>6</v>
      </c>
      <c r="AY103" s="10">
        <v>238.317964145963</v>
      </c>
    </row>
    <row r="104" spans="1:51" x14ac:dyDescent="0.25">
      <c r="A104" s="8">
        <v>2006</v>
      </c>
      <c r="B104" s="8">
        <v>7</v>
      </c>
      <c r="C104" s="10">
        <v>249.178701203472</v>
      </c>
      <c r="E104" s="10">
        <v>2006</v>
      </c>
      <c r="F104" s="10">
        <v>7</v>
      </c>
      <c r="G104" s="10">
        <v>249.89630125798101</v>
      </c>
      <c r="I104" s="10">
        <v>2006</v>
      </c>
      <c r="J104" s="10">
        <v>7</v>
      </c>
      <c r="K104" s="10">
        <v>249.881556830796</v>
      </c>
      <c r="M104" s="10">
        <v>2006</v>
      </c>
      <c r="N104" s="10">
        <v>7</v>
      </c>
      <c r="O104" s="10">
        <v>249.91847025195599</v>
      </c>
      <c r="Q104" s="10">
        <v>2006</v>
      </c>
      <c r="R104" s="10">
        <v>7</v>
      </c>
      <c r="S104" s="10">
        <v>249.94591422962699</v>
      </c>
      <c r="U104" s="10">
        <v>2006</v>
      </c>
      <c r="V104" s="10">
        <v>7</v>
      </c>
      <c r="W104" s="10">
        <v>249.976533734713</v>
      </c>
      <c r="Y104" s="17">
        <v>2011</v>
      </c>
      <c r="Z104" s="17">
        <v>7</v>
      </c>
      <c r="AA104" s="17">
        <v>68469.6096843493</v>
      </c>
      <c r="AC104" s="10">
        <v>2006</v>
      </c>
      <c r="AD104" s="10">
        <v>7</v>
      </c>
      <c r="AE104" s="10">
        <v>249.97152653057501</v>
      </c>
      <c r="AG104" s="10">
        <v>2006</v>
      </c>
      <c r="AH104" s="10">
        <v>7</v>
      </c>
      <c r="AI104" s="10">
        <v>249.977955377749</v>
      </c>
      <c r="AK104" s="10">
        <v>2006</v>
      </c>
      <c r="AL104" s="10">
        <v>7</v>
      </c>
      <c r="AM104" s="10">
        <v>249.949734235855</v>
      </c>
      <c r="AO104" s="10">
        <v>2006</v>
      </c>
      <c r="AP104" s="10">
        <v>7</v>
      </c>
      <c r="AQ104" s="10">
        <v>249.963704083506</v>
      </c>
      <c r="AS104" s="10">
        <v>2006</v>
      </c>
      <c r="AT104" s="10">
        <v>7</v>
      </c>
      <c r="AU104" s="10">
        <v>249.929542091173</v>
      </c>
      <c r="AW104" s="10">
        <v>2006</v>
      </c>
      <c r="AX104" s="10">
        <v>7</v>
      </c>
      <c r="AY104" s="10">
        <v>249.93124490691801</v>
      </c>
    </row>
    <row r="105" spans="1:51" x14ac:dyDescent="0.25">
      <c r="A105" s="8">
        <v>2006</v>
      </c>
      <c r="B105" s="8">
        <v>8</v>
      </c>
      <c r="C105" s="10">
        <v>275.61890252176801</v>
      </c>
      <c r="E105" s="10">
        <v>2006</v>
      </c>
      <c r="F105" s="10">
        <v>8</v>
      </c>
      <c r="G105" s="10">
        <v>273.882244002346</v>
      </c>
      <c r="I105" s="10">
        <v>2006</v>
      </c>
      <c r="J105" s="10">
        <v>8</v>
      </c>
      <c r="K105" s="10">
        <v>273.88122628745498</v>
      </c>
      <c r="M105" s="10">
        <v>2006</v>
      </c>
      <c r="N105" s="10">
        <v>8</v>
      </c>
      <c r="O105" s="10">
        <v>273.824271585453</v>
      </c>
      <c r="Q105" s="10">
        <v>2006</v>
      </c>
      <c r="R105" s="10">
        <v>8</v>
      </c>
      <c r="S105" s="10">
        <v>273.74020531098802</v>
      </c>
      <c r="U105" s="10">
        <v>2006</v>
      </c>
      <c r="V105" s="10">
        <v>8</v>
      </c>
      <c r="W105" s="10">
        <v>273.59346367493299</v>
      </c>
      <c r="Y105" s="17">
        <v>2011</v>
      </c>
      <c r="Z105" s="17">
        <v>8</v>
      </c>
      <c r="AA105" s="17">
        <v>69355.483755028501</v>
      </c>
      <c r="AC105" s="10">
        <v>2006</v>
      </c>
      <c r="AD105" s="10">
        <v>8</v>
      </c>
      <c r="AE105" s="10">
        <v>273.604548670192</v>
      </c>
      <c r="AG105" s="10">
        <v>2006</v>
      </c>
      <c r="AH105" s="10">
        <v>8</v>
      </c>
      <c r="AI105" s="10">
        <v>273.54215878994597</v>
      </c>
      <c r="AK105" s="10">
        <v>2006</v>
      </c>
      <c r="AL105" s="10">
        <v>8</v>
      </c>
      <c r="AM105" s="10">
        <v>273.59118251953703</v>
      </c>
      <c r="AO105" s="10">
        <v>2006</v>
      </c>
      <c r="AP105" s="10">
        <v>8</v>
      </c>
      <c r="AQ105" s="10">
        <v>273.47140207113802</v>
      </c>
      <c r="AS105" s="10">
        <v>2006</v>
      </c>
      <c r="AT105" s="10">
        <v>8</v>
      </c>
      <c r="AU105" s="10">
        <v>273.53518968196499</v>
      </c>
      <c r="AW105" s="10">
        <v>2006</v>
      </c>
      <c r="AX105" s="10">
        <v>8</v>
      </c>
      <c r="AY105" s="10">
        <v>273.53088424991302</v>
      </c>
    </row>
    <row r="106" spans="1:51" x14ac:dyDescent="0.25">
      <c r="A106" s="8">
        <v>2006</v>
      </c>
      <c r="B106" s="8">
        <v>9</v>
      </c>
      <c r="C106" s="10">
        <v>271.85695905866601</v>
      </c>
      <c r="E106" s="10">
        <v>2006</v>
      </c>
      <c r="F106" s="10">
        <v>9</v>
      </c>
      <c r="G106" s="10">
        <v>272.69625458193298</v>
      </c>
      <c r="I106" s="10">
        <v>2006</v>
      </c>
      <c r="J106" s="10">
        <v>9</v>
      </c>
      <c r="K106" s="10">
        <v>272.68712610546402</v>
      </c>
      <c r="M106" s="10">
        <v>2006</v>
      </c>
      <c r="N106" s="10">
        <v>9</v>
      </c>
      <c r="O106" s="10">
        <v>272.72697849634602</v>
      </c>
      <c r="Q106" s="10">
        <v>2006</v>
      </c>
      <c r="R106" s="10">
        <v>9</v>
      </c>
      <c r="S106" s="10">
        <v>272.75738350833899</v>
      </c>
      <c r="U106" s="10">
        <v>2006</v>
      </c>
      <c r="V106" s="10">
        <v>9</v>
      </c>
      <c r="W106" s="10">
        <v>272.803249537797</v>
      </c>
      <c r="Y106" s="17">
        <v>2011</v>
      </c>
      <c r="Z106" s="17">
        <v>9</v>
      </c>
      <c r="AA106" s="17">
        <v>70859.387761588499</v>
      </c>
      <c r="AC106" s="10">
        <v>2006</v>
      </c>
      <c r="AD106" s="10">
        <v>9</v>
      </c>
      <c r="AE106" s="10">
        <v>272.799746174353</v>
      </c>
      <c r="AG106" s="10">
        <v>2006</v>
      </c>
      <c r="AH106" s="10">
        <v>9</v>
      </c>
      <c r="AI106" s="10">
        <v>272.81947535557703</v>
      </c>
      <c r="AK106" s="10">
        <v>2006</v>
      </c>
      <c r="AL106" s="10">
        <v>9</v>
      </c>
      <c r="AM106" s="10">
        <v>272.78736895968001</v>
      </c>
      <c r="AO106" s="10">
        <v>2006</v>
      </c>
      <c r="AP106" s="10">
        <v>9</v>
      </c>
      <c r="AQ106" s="10">
        <v>272.90895563640498</v>
      </c>
      <c r="AS106" s="10">
        <v>2006</v>
      </c>
      <c r="AT106" s="10">
        <v>9</v>
      </c>
      <c r="AU106" s="10">
        <v>273.14034308035002</v>
      </c>
      <c r="AW106" s="10">
        <v>2006</v>
      </c>
      <c r="AX106" s="10">
        <v>9</v>
      </c>
      <c r="AY106" s="10">
        <v>273.14805774574302</v>
      </c>
    </row>
    <row r="107" spans="1:51" x14ac:dyDescent="0.25">
      <c r="A107" s="8">
        <v>2006</v>
      </c>
      <c r="B107" s="8">
        <v>10</v>
      </c>
      <c r="C107" s="10">
        <v>269.79587142562002</v>
      </c>
      <c r="E107" s="10">
        <v>2006</v>
      </c>
      <c r="F107" s="10">
        <v>10</v>
      </c>
      <c r="G107" s="10">
        <v>269.70746791665999</v>
      </c>
      <c r="I107" s="10">
        <v>2006</v>
      </c>
      <c r="J107" s="10">
        <v>10</v>
      </c>
      <c r="K107" s="10">
        <v>269.70466845990899</v>
      </c>
      <c r="M107" s="10">
        <v>2006</v>
      </c>
      <c r="N107" s="10">
        <v>10</v>
      </c>
      <c r="O107" s="10">
        <v>269.70410954295602</v>
      </c>
      <c r="Q107" s="10">
        <v>2006</v>
      </c>
      <c r="R107" s="10">
        <v>10</v>
      </c>
      <c r="S107" s="10">
        <v>269.69552920895597</v>
      </c>
      <c r="U107" s="10">
        <v>2006</v>
      </c>
      <c r="V107" s="10">
        <v>10</v>
      </c>
      <c r="W107" s="10">
        <v>269.67681704994902</v>
      </c>
      <c r="Y107" s="17">
        <v>2011</v>
      </c>
      <c r="Z107" s="17">
        <v>10</v>
      </c>
      <c r="AA107" s="17">
        <v>72329.3879679151</v>
      </c>
      <c r="AC107" s="10">
        <v>2006</v>
      </c>
      <c r="AD107" s="10">
        <v>10</v>
      </c>
      <c r="AE107" s="10">
        <v>269.67849282636399</v>
      </c>
      <c r="AG107" s="10">
        <v>2006</v>
      </c>
      <c r="AH107" s="10">
        <v>10</v>
      </c>
      <c r="AI107" s="10">
        <v>269.669272808904</v>
      </c>
      <c r="AK107" s="10">
        <v>2006</v>
      </c>
      <c r="AL107" s="10">
        <v>10</v>
      </c>
      <c r="AM107" s="10">
        <v>269.670460789152</v>
      </c>
      <c r="AO107" s="10">
        <v>2006</v>
      </c>
      <c r="AP107" s="10">
        <v>10</v>
      </c>
      <c r="AQ107" s="10">
        <v>269.68556543415099</v>
      </c>
      <c r="AS107" s="10">
        <v>2006</v>
      </c>
      <c r="AT107" s="10">
        <v>10</v>
      </c>
      <c r="AU107" s="10">
        <v>269.60588747348498</v>
      </c>
      <c r="AW107" s="10">
        <v>2006</v>
      </c>
      <c r="AX107" s="10">
        <v>10</v>
      </c>
      <c r="AY107" s="10">
        <v>269.60423715174198</v>
      </c>
    </row>
    <row r="108" spans="1:51" x14ac:dyDescent="0.25">
      <c r="A108" s="8">
        <v>2006</v>
      </c>
      <c r="B108" s="8">
        <v>11</v>
      </c>
      <c r="C108" s="10">
        <v>271.224329078702</v>
      </c>
      <c r="E108" s="10">
        <v>2006</v>
      </c>
      <c r="F108" s="10">
        <v>11</v>
      </c>
      <c r="G108" s="10">
        <v>270.48676273691302</v>
      </c>
      <c r="I108" s="10">
        <v>2006</v>
      </c>
      <c r="J108" s="10">
        <v>11</v>
      </c>
      <c r="K108" s="10">
        <v>270.49060743255001</v>
      </c>
      <c r="M108" s="10">
        <v>2006</v>
      </c>
      <c r="N108" s="10">
        <v>11</v>
      </c>
      <c r="O108" s="10">
        <v>270.46216987892001</v>
      </c>
      <c r="Q108" s="10">
        <v>2006</v>
      </c>
      <c r="R108" s="10">
        <v>11</v>
      </c>
      <c r="S108" s="10">
        <v>270.41421357374298</v>
      </c>
      <c r="U108" s="10">
        <v>2006</v>
      </c>
      <c r="V108" s="10">
        <v>11</v>
      </c>
      <c r="W108" s="10">
        <v>270.351103086065</v>
      </c>
      <c r="Y108" s="17">
        <v>2011</v>
      </c>
      <c r="Z108" s="17">
        <v>11</v>
      </c>
      <c r="AA108" s="17">
        <v>72927.655458741996</v>
      </c>
      <c r="AC108" s="10">
        <v>2006</v>
      </c>
      <c r="AD108" s="10">
        <v>11</v>
      </c>
      <c r="AE108" s="10">
        <v>270.35828307600002</v>
      </c>
      <c r="AG108" s="10">
        <v>2006</v>
      </c>
      <c r="AH108" s="10">
        <v>11</v>
      </c>
      <c r="AI108" s="10">
        <v>270.33608178048098</v>
      </c>
      <c r="AK108" s="10">
        <v>2006</v>
      </c>
      <c r="AL108" s="10">
        <v>11</v>
      </c>
      <c r="AM108" s="10">
        <v>270.36026554801902</v>
      </c>
      <c r="AO108" s="10">
        <v>2006</v>
      </c>
      <c r="AP108" s="10">
        <v>11</v>
      </c>
      <c r="AQ108" s="10">
        <v>270.35576333229398</v>
      </c>
      <c r="AS108" s="10">
        <v>2006</v>
      </c>
      <c r="AT108" s="10">
        <v>11</v>
      </c>
      <c r="AU108" s="10">
        <v>270.18262390306597</v>
      </c>
      <c r="AW108" s="10">
        <v>2006</v>
      </c>
      <c r="AX108" s="10">
        <v>11</v>
      </c>
      <c r="AY108" s="10">
        <v>270.18601360846998</v>
      </c>
    </row>
    <row r="109" spans="1:51" x14ac:dyDescent="0.25">
      <c r="A109" s="8">
        <v>2006</v>
      </c>
      <c r="B109" s="8">
        <v>12</v>
      </c>
      <c r="C109" s="10">
        <v>248.16627245722901</v>
      </c>
      <c r="E109" s="10">
        <v>2006</v>
      </c>
      <c r="F109" s="10">
        <v>12</v>
      </c>
      <c r="G109" s="10">
        <v>250.050422976253</v>
      </c>
      <c r="I109" s="10">
        <v>2006</v>
      </c>
      <c r="J109" s="10">
        <v>12</v>
      </c>
      <c r="K109" s="10">
        <v>250.03795078549501</v>
      </c>
      <c r="M109" s="10">
        <v>2006</v>
      </c>
      <c r="N109" s="10">
        <v>12</v>
      </c>
      <c r="O109" s="10">
        <v>250.11932208992201</v>
      </c>
      <c r="Q109" s="10">
        <v>2006</v>
      </c>
      <c r="R109" s="10">
        <v>12</v>
      </c>
      <c r="S109" s="10">
        <v>250.204064284651</v>
      </c>
      <c r="U109" s="10">
        <v>2006</v>
      </c>
      <c r="V109" s="10">
        <v>12</v>
      </c>
      <c r="W109" s="10">
        <v>250.333350152446</v>
      </c>
      <c r="Y109" s="17">
        <v>2011</v>
      </c>
      <c r="Z109" s="17">
        <v>12</v>
      </c>
      <c r="AA109" s="17">
        <v>73078.777389272698</v>
      </c>
      <c r="AC109" s="10">
        <v>2006</v>
      </c>
      <c r="AD109" s="10">
        <v>12</v>
      </c>
      <c r="AE109" s="10">
        <v>250.3219133879</v>
      </c>
      <c r="AG109" s="10">
        <v>2006</v>
      </c>
      <c r="AH109" s="10">
        <v>12</v>
      </c>
      <c r="AI109" s="10">
        <v>250.37136068604099</v>
      </c>
      <c r="AK109" s="10">
        <v>2006</v>
      </c>
      <c r="AL109" s="10">
        <v>12</v>
      </c>
      <c r="AM109" s="10">
        <v>250.30465464954901</v>
      </c>
      <c r="AO109" s="10">
        <v>2006</v>
      </c>
      <c r="AP109" s="10">
        <v>12</v>
      </c>
      <c r="AQ109" s="10">
        <v>250.39119683213499</v>
      </c>
      <c r="AS109" s="10">
        <v>2006</v>
      </c>
      <c r="AT109" s="10">
        <v>12</v>
      </c>
      <c r="AU109" s="10">
        <v>250.32588252556701</v>
      </c>
      <c r="AW109" s="10">
        <v>2006</v>
      </c>
      <c r="AX109" s="10">
        <v>12</v>
      </c>
      <c r="AY109" s="10">
        <v>250.32219439489199</v>
      </c>
    </row>
    <row r="110" spans="1:51" x14ac:dyDescent="0.25">
      <c r="A110" s="8">
        <v>2007</v>
      </c>
      <c r="B110" s="8">
        <v>1</v>
      </c>
      <c r="C110" s="10">
        <v>262.80815030929199</v>
      </c>
      <c r="E110" s="10">
        <v>2007</v>
      </c>
      <c r="F110" s="10">
        <v>1</v>
      </c>
      <c r="G110" s="10">
        <v>262.38232719098602</v>
      </c>
      <c r="I110" s="10">
        <v>2007</v>
      </c>
      <c r="J110" s="10">
        <v>1</v>
      </c>
      <c r="K110" s="10">
        <v>262.39036156472002</v>
      </c>
      <c r="M110" s="10">
        <v>2007</v>
      </c>
      <c r="N110" s="10">
        <v>1</v>
      </c>
      <c r="O110" s="10">
        <v>262.34662568566699</v>
      </c>
      <c r="Q110" s="10">
        <v>2007</v>
      </c>
      <c r="R110" s="10">
        <v>1</v>
      </c>
      <c r="S110" s="10">
        <v>262.286945020286</v>
      </c>
      <c r="U110" s="10">
        <v>2007</v>
      </c>
      <c r="V110" s="10">
        <v>1</v>
      </c>
      <c r="W110" s="10">
        <v>262.19778982024201</v>
      </c>
      <c r="Y110" s="17">
        <v>2012</v>
      </c>
      <c r="Z110" s="17">
        <v>1</v>
      </c>
      <c r="AA110" s="17">
        <v>73663.833936576397</v>
      </c>
      <c r="AC110" s="10">
        <v>2007</v>
      </c>
      <c r="AD110" s="10">
        <v>1</v>
      </c>
      <c r="AE110" s="10">
        <v>262.20879918511901</v>
      </c>
      <c r="AG110" s="10">
        <v>2007</v>
      </c>
      <c r="AH110" s="10">
        <v>1</v>
      </c>
      <c r="AI110" s="10">
        <v>262.172934463535</v>
      </c>
      <c r="AK110" s="10">
        <v>2007</v>
      </c>
      <c r="AL110" s="10">
        <v>1</v>
      </c>
      <c r="AM110" s="10">
        <v>262.20834921185701</v>
      </c>
      <c r="AO110" s="10">
        <v>2007</v>
      </c>
      <c r="AP110" s="10">
        <v>1</v>
      </c>
      <c r="AQ110" s="10">
        <v>262.15041641138498</v>
      </c>
      <c r="AS110" s="10">
        <v>2007</v>
      </c>
      <c r="AT110" s="10">
        <v>1</v>
      </c>
      <c r="AU110" s="10">
        <v>262.26398554202001</v>
      </c>
      <c r="AW110" s="10">
        <v>2007</v>
      </c>
      <c r="AX110" s="10">
        <v>1</v>
      </c>
      <c r="AY110" s="10">
        <v>262.25927057585801</v>
      </c>
    </row>
    <row r="111" spans="1:51" x14ac:dyDescent="0.25">
      <c r="A111" s="8">
        <v>2007</v>
      </c>
      <c r="B111" s="8">
        <v>2</v>
      </c>
      <c r="C111" s="10">
        <v>263.28706728641902</v>
      </c>
      <c r="E111" s="10">
        <v>2007</v>
      </c>
      <c r="F111" s="10">
        <v>2</v>
      </c>
      <c r="G111" s="10">
        <v>263.51410703207802</v>
      </c>
      <c r="I111" s="10">
        <v>2007</v>
      </c>
      <c r="J111" s="10">
        <v>2</v>
      </c>
      <c r="K111" s="10">
        <v>263.51526049694701</v>
      </c>
      <c r="M111" s="10">
        <v>2007</v>
      </c>
      <c r="N111" s="10">
        <v>2</v>
      </c>
      <c r="O111" s="10">
        <v>263.50838059284598</v>
      </c>
      <c r="Q111" s="10">
        <v>2007</v>
      </c>
      <c r="R111" s="10">
        <v>2</v>
      </c>
      <c r="S111" s="10">
        <v>263.46221684094098</v>
      </c>
      <c r="U111" s="10">
        <v>2007</v>
      </c>
      <c r="V111" s="10">
        <v>2</v>
      </c>
      <c r="W111" s="10">
        <v>263.474238959567</v>
      </c>
      <c r="Y111" s="17">
        <v>2012</v>
      </c>
      <c r="Z111" s="17">
        <v>2</v>
      </c>
      <c r="AA111" s="17">
        <v>74250.474262014002</v>
      </c>
      <c r="AC111" s="10">
        <v>2007</v>
      </c>
      <c r="AD111" s="10">
        <v>2</v>
      </c>
      <c r="AE111" s="10">
        <v>263.48328930401499</v>
      </c>
      <c r="AG111" s="10">
        <v>2007</v>
      </c>
      <c r="AH111" s="10">
        <v>2</v>
      </c>
      <c r="AI111" s="10">
        <v>263.47887968544097</v>
      </c>
      <c r="AK111" s="10">
        <v>2007</v>
      </c>
      <c r="AL111" s="10">
        <v>2</v>
      </c>
      <c r="AM111" s="10">
        <v>263.48435291488602</v>
      </c>
      <c r="AO111" s="10">
        <v>2007</v>
      </c>
      <c r="AP111" s="10">
        <v>2</v>
      </c>
      <c r="AQ111" s="10">
        <v>263.47302281979398</v>
      </c>
      <c r="AS111" s="10">
        <v>2007</v>
      </c>
      <c r="AT111" s="10">
        <v>2</v>
      </c>
      <c r="AU111" s="10">
        <v>263.824963627925</v>
      </c>
      <c r="AW111" s="10">
        <v>2007</v>
      </c>
      <c r="AX111" s="10">
        <v>2</v>
      </c>
      <c r="AY111" s="10">
        <v>263.86073758805099</v>
      </c>
    </row>
    <row r="112" spans="1:51" x14ac:dyDescent="0.25">
      <c r="A112" s="8">
        <v>2007</v>
      </c>
      <c r="B112" s="8">
        <v>3</v>
      </c>
      <c r="C112" s="10">
        <v>258.11804820161501</v>
      </c>
      <c r="E112" s="10">
        <v>2007</v>
      </c>
      <c r="F112" s="10">
        <v>3</v>
      </c>
      <c r="G112" s="10">
        <v>258.78160258313198</v>
      </c>
      <c r="I112" s="10">
        <v>2007</v>
      </c>
      <c r="J112" s="10">
        <v>3</v>
      </c>
      <c r="K112" s="10">
        <v>258.78155415378302</v>
      </c>
      <c r="M112" s="10">
        <v>2007</v>
      </c>
      <c r="N112" s="10">
        <v>3</v>
      </c>
      <c r="O112" s="10">
        <v>258.80899519184197</v>
      </c>
      <c r="Q112" s="10">
        <v>2007</v>
      </c>
      <c r="R112" s="10">
        <v>3</v>
      </c>
      <c r="S112" s="10">
        <v>258.98409895245499</v>
      </c>
      <c r="U112" s="10">
        <v>2007</v>
      </c>
      <c r="V112" s="10">
        <v>3</v>
      </c>
      <c r="W112" s="10">
        <v>259.15994610229899</v>
      </c>
      <c r="Y112" s="17">
        <v>2012</v>
      </c>
      <c r="Z112" s="17">
        <v>3</v>
      </c>
      <c r="AA112" s="17">
        <v>74880.741783840902</v>
      </c>
      <c r="AC112" s="10">
        <v>2007</v>
      </c>
      <c r="AD112" s="10">
        <v>3</v>
      </c>
      <c r="AE112" s="10">
        <v>259.16415113382698</v>
      </c>
      <c r="AG112" s="10">
        <v>2007</v>
      </c>
      <c r="AH112" s="10">
        <v>3</v>
      </c>
      <c r="AI112" s="10">
        <v>259.19013228341998</v>
      </c>
      <c r="AK112" s="10">
        <v>2007</v>
      </c>
      <c r="AL112" s="10">
        <v>3</v>
      </c>
      <c r="AM112" s="10">
        <v>259.16987933566401</v>
      </c>
      <c r="AO112" s="10">
        <v>2007</v>
      </c>
      <c r="AP112" s="10">
        <v>3</v>
      </c>
      <c r="AQ112" s="10">
        <v>259.15380052343102</v>
      </c>
      <c r="AS112" s="10">
        <v>2007</v>
      </c>
      <c r="AT112" s="10">
        <v>3</v>
      </c>
      <c r="AU112" s="10">
        <v>259.29018637375998</v>
      </c>
      <c r="AW112" s="10">
        <v>2007</v>
      </c>
      <c r="AX112" s="10">
        <v>3</v>
      </c>
      <c r="AY112" s="10">
        <v>259.29963861456201</v>
      </c>
    </row>
    <row r="113" spans="1:51" x14ac:dyDescent="0.25">
      <c r="A113" s="8">
        <v>2007</v>
      </c>
      <c r="B113" s="8">
        <v>4</v>
      </c>
      <c r="C113" s="10">
        <v>258.897973709589</v>
      </c>
      <c r="E113" s="10">
        <v>2007</v>
      </c>
      <c r="F113" s="10">
        <v>4</v>
      </c>
      <c r="G113" s="10">
        <v>259.43729105991099</v>
      </c>
      <c r="I113" s="10">
        <v>2007</v>
      </c>
      <c r="J113" s="10">
        <v>4</v>
      </c>
      <c r="K113" s="10">
        <v>259.44871684142601</v>
      </c>
      <c r="M113" s="10">
        <v>2007</v>
      </c>
      <c r="N113" s="10">
        <v>4</v>
      </c>
      <c r="O113" s="10">
        <v>259.44870458802598</v>
      </c>
      <c r="Q113" s="10">
        <v>2007</v>
      </c>
      <c r="R113" s="10">
        <v>4</v>
      </c>
      <c r="S113" s="10">
        <v>259.432721941458</v>
      </c>
      <c r="U113" s="10">
        <v>2007</v>
      </c>
      <c r="V113" s="10">
        <v>4</v>
      </c>
      <c r="W113" s="10">
        <v>259.43927933374198</v>
      </c>
      <c r="Y113" s="17">
        <v>2012</v>
      </c>
      <c r="Z113" s="17">
        <v>4</v>
      </c>
      <c r="AA113" s="17">
        <v>75237.986037230803</v>
      </c>
      <c r="AC113" s="10">
        <v>2007</v>
      </c>
      <c r="AD113" s="10">
        <v>4</v>
      </c>
      <c r="AE113" s="10">
        <v>259.45076370206601</v>
      </c>
      <c r="AG113" s="10">
        <v>2007</v>
      </c>
      <c r="AH113" s="10">
        <v>4</v>
      </c>
      <c r="AI113" s="10">
        <v>259.46114780808102</v>
      </c>
      <c r="AK113" s="10">
        <v>2007</v>
      </c>
      <c r="AL113" s="10">
        <v>4</v>
      </c>
      <c r="AM113" s="10">
        <v>259.45764553381701</v>
      </c>
      <c r="AO113" s="10">
        <v>2007</v>
      </c>
      <c r="AP113" s="10">
        <v>4</v>
      </c>
      <c r="AQ113" s="10">
        <v>259.54534904685198</v>
      </c>
      <c r="AS113" s="10">
        <v>2007</v>
      </c>
      <c r="AT113" s="10">
        <v>4</v>
      </c>
      <c r="AU113" s="10">
        <v>259.75456959942602</v>
      </c>
      <c r="AW113" s="10">
        <v>2007</v>
      </c>
      <c r="AX113" s="10">
        <v>4</v>
      </c>
      <c r="AY113" s="10">
        <v>259.75257163676099</v>
      </c>
    </row>
    <row r="114" spans="1:51" x14ac:dyDescent="0.25">
      <c r="A114" s="8">
        <v>2007</v>
      </c>
      <c r="B114" s="8">
        <v>5</v>
      </c>
      <c r="C114" s="10">
        <v>262.00951374206699</v>
      </c>
      <c r="E114" s="10">
        <v>2007</v>
      </c>
      <c r="F114" s="10">
        <v>5</v>
      </c>
      <c r="G114" s="10">
        <v>259.05967784368499</v>
      </c>
      <c r="I114" s="10">
        <v>2007</v>
      </c>
      <c r="J114" s="10">
        <v>5</v>
      </c>
      <c r="K114" s="10">
        <v>259.06905171380299</v>
      </c>
      <c r="M114" s="10">
        <v>2007</v>
      </c>
      <c r="N114" s="10">
        <v>5</v>
      </c>
      <c r="O114" s="10">
        <v>259.02906269124298</v>
      </c>
      <c r="Q114" s="10">
        <v>2007</v>
      </c>
      <c r="R114" s="10">
        <v>5</v>
      </c>
      <c r="S114" s="10">
        <v>258.97672678039498</v>
      </c>
      <c r="U114" s="10">
        <v>2007</v>
      </c>
      <c r="V114" s="10">
        <v>5</v>
      </c>
      <c r="W114" s="10">
        <v>258.95349163089003</v>
      </c>
      <c r="Y114" s="17">
        <v>2012</v>
      </c>
      <c r="Z114" s="17">
        <v>5</v>
      </c>
      <c r="AA114" s="17">
        <v>75167.655469827398</v>
      </c>
      <c r="AC114" s="10">
        <v>2007</v>
      </c>
      <c r="AD114" s="10">
        <v>5</v>
      </c>
      <c r="AE114" s="10">
        <v>258.92542658949401</v>
      </c>
      <c r="AG114" s="10">
        <v>2007</v>
      </c>
      <c r="AH114" s="10">
        <v>5</v>
      </c>
      <c r="AI114" s="10">
        <v>258.93721089650899</v>
      </c>
      <c r="AK114" s="10">
        <v>2007</v>
      </c>
      <c r="AL114" s="10">
        <v>5</v>
      </c>
      <c r="AM114" s="10">
        <v>258.96787658985602</v>
      </c>
      <c r="AO114" s="10">
        <v>2007</v>
      </c>
      <c r="AP114" s="10">
        <v>5</v>
      </c>
      <c r="AQ114" s="10">
        <v>258.880085519825</v>
      </c>
      <c r="AS114" s="10">
        <v>2007</v>
      </c>
      <c r="AT114" s="10">
        <v>5</v>
      </c>
      <c r="AU114" s="10">
        <v>258.66045610639202</v>
      </c>
      <c r="AW114" s="10">
        <v>2007</v>
      </c>
      <c r="AX114" s="10">
        <v>5</v>
      </c>
      <c r="AY114" s="10">
        <v>258.65535867069701</v>
      </c>
    </row>
    <row r="115" spans="1:51" x14ac:dyDescent="0.25">
      <c r="A115" s="8">
        <v>2007</v>
      </c>
      <c r="B115" s="8">
        <v>6</v>
      </c>
      <c r="C115" s="10">
        <v>269.47989602436098</v>
      </c>
      <c r="E115" s="10">
        <v>2007</v>
      </c>
      <c r="F115" s="10">
        <v>6</v>
      </c>
      <c r="G115" s="10">
        <v>271.41333734498301</v>
      </c>
      <c r="I115" s="10">
        <v>2007</v>
      </c>
      <c r="J115" s="10">
        <v>6</v>
      </c>
      <c r="K115" s="10">
        <v>271.41473761331702</v>
      </c>
      <c r="M115" s="10">
        <v>2007</v>
      </c>
      <c r="N115" s="10">
        <v>6</v>
      </c>
      <c r="O115" s="10">
        <v>271.44708215422202</v>
      </c>
      <c r="Q115" s="10">
        <v>2007</v>
      </c>
      <c r="R115" s="10">
        <v>6</v>
      </c>
      <c r="S115" s="10">
        <v>271.46936267898599</v>
      </c>
      <c r="U115" s="10">
        <v>2007</v>
      </c>
      <c r="V115" s="10">
        <v>6</v>
      </c>
      <c r="W115" s="10">
        <v>271.52955750870302</v>
      </c>
      <c r="Y115" s="17">
        <v>2012</v>
      </c>
      <c r="Z115" s="17">
        <v>6</v>
      </c>
      <c r="AA115" s="17">
        <v>76702.1352816586</v>
      </c>
      <c r="AC115" s="10">
        <v>2007</v>
      </c>
      <c r="AD115" s="10">
        <v>6</v>
      </c>
      <c r="AE115" s="10">
        <v>271.51421521302302</v>
      </c>
      <c r="AG115" s="10">
        <v>2007</v>
      </c>
      <c r="AH115" s="10">
        <v>6</v>
      </c>
      <c r="AI115" s="10">
        <v>271.57306642573502</v>
      </c>
      <c r="AK115" s="10">
        <v>2007</v>
      </c>
      <c r="AL115" s="10">
        <v>6</v>
      </c>
      <c r="AM115" s="10">
        <v>271.54316458208598</v>
      </c>
      <c r="AO115" s="10">
        <v>2007</v>
      </c>
      <c r="AP115" s="10">
        <v>6</v>
      </c>
      <c r="AQ115" s="10">
        <v>271.524682473589</v>
      </c>
      <c r="AS115" s="10">
        <v>2007</v>
      </c>
      <c r="AT115" s="10">
        <v>6</v>
      </c>
      <c r="AU115" s="10">
        <v>271.17839678161198</v>
      </c>
      <c r="AW115" s="10">
        <v>2007</v>
      </c>
      <c r="AX115" s="10">
        <v>6</v>
      </c>
      <c r="AY115" s="10">
        <v>271.18122107591</v>
      </c>
    </row>
    <row r="116" spans="1:51" x14ac:dyDescent="0.25">
      <c r="A116" s="8">
        <v>2007</v>
      </c>
      <c r="B116" s="8">
        <v>7</v>
      </c>
      <c r="C116" s="10">
        <v>274.160343782854</v>
      </c>
      <c r="E116" s="10">
        <v>2007</v>
      </c>
      <c r="F116" s="10">
        <v>7</v>
      </c>
      <c r="G116" s="10">
        <v>274.11619329344001</v>
      </c>
      <c r="I116" s="10">
        <v>2007</v>
      </c>
      <c r="J116" s="10">
        <v>7</v>
      </c>
      <c r="K116" s="10">
        <v>274.10537840109703</v>
      </c>
      <c r="M116" s="10">
        <v>2007</v>
      </c>
      <c r="N116" s="10">
        <v>7</v>
      </c>
      <c r="O116" s="10">
        <v>274.10170723003301</v>
      </c>
      <c r="Q116" s="10">
        <v>2007</v>
      </c>
      <c r="R116" s="10">
        <v>7</v>
      </c>
      <c r="S116" s="10">
        <v>274.085316625899</v>
      </c>
      <c r="U116" s="10">
        <v>2007</v>
      </c>
      <c r="V116" s="10">
        <v>7</v>
      </c>
      <c r="W116" s="10">
        <v>274.04564853274798</v>
      </c>
      <c r="Y116" s="17">
        <v>2012</v>
      </c>
      <c r="Z116" s="17">
        <v>7</v>
      </c>
      <c r="AA116" s="17">
        <v>78087.018837838594</v>
      </c>
      <c r="AC116" s="10">
        <v>2007</v>
      </c>
      <c r="AD116" s="10">
        <v>7</v>
      </c>
      <c r="AE116" s="10">
        <v>274.04662071975702</v>
      </c>
      <c r="AG116" s="10">
        <v>2007</v>
      </c>
      <c r="AH116" s="10">
        <v>7</v>
      </c>
      <c r="AI116" s="10">
        <v>274.01581446514098</v>
      </c>
      <c r="AK116" s="10">
        <v>2007</v>
      </c>
      <c r="AL116" s="10">
        <v>7</v>
      </c>
      <c r="AM116" s="10">
        <v>274.02173445465502</v>
      </c>
      <c r="AO116" s="10">
        <v>2007</v>
      </c>
      <c r="AP116" s="10">
        <v>7</v>
      </c>
      <c r="AQ116" s="10">
        <v>273.99915632155103</v>
      </c>
      <c r="AS116" s="10">
        <v>2007</v>
      </c>
      <c r="AT116" s="10">
        <v>7</v>
      </c>
      <c r="AU116" s="10">
        <v>274.037140324333</v>
      </c>
      <c r="AW116" s="10">
        <v>2007</v>
      </c>
      <c r="AX116" s="10">
        <v>7</v>
      </c>
      <c r="AY116" s="10">
        <v>274.03576214308401</v>
      </c>
    </row>
    <row r="117" spans="1:51" x14ac:dyDescent="0.25">
      <c r="A117" s="8">
        <v>2007</v>
      </c>
      <c r="B117" s="8">
        <v>8</v>
      </c>
      <c r="C117" s="10">
        <v>277.73487106302701</v>
      </c>
      <c r="E117" s="10">
        <v>2007</v>
      </c>
      <c r="F117" s="10">
        <v>8</v>
      </c>
      <c r="G117" s="10">
        <v>275.79237768102399</v>
      </c>
      <c r="I117" s="10">
        <v>2007</v>
      </c>
      <c r="J117" s="10">
        <v>8</v>
      </c>
      <c r="K117" s="10">
        <v>275.789715703377</v>
      </c>
      <c r="M117" s="10">
        <v>2007</v>
      </c>
      <c r="N117" s="10">
        <v>8</v>
      </c>
      <c r="O117" s="10">
        <v>275.72239693819301</v>
      </c>
      <c r="Q117" s="10">
        <v>2007</v>
      </c>
      <c r="R117" s="10">
        <v>8</v>
      </c>
      <c r="S117" s="10">
        <v>275.62893241552598</v>
      </c>
      <c r="U117" s="10">
        <v>2007</v>
      </c>
      <c r="V117" s="10">
        <v>8</v>
      </c>
      <c r="W117" s="10">
        <v>275.458414282104</v>
      </c>
      <c r="Y117" s="17">
        <v>2012</v>
      </c>
      <c r="Z117" s="17">
        <v>8</v>
      </c>
      <c r="AA117" s="17">
        <v>79240.535455053396</v>
      </c>
      <c r="AC117" s="10">
        <v>2007</v>
      </c>
      <c r="AD117" s="10">
        <v>8</v>
      </c>
      <c r="AE117" s="10">
        <v>275.47216182625101</v>
      </c>
      <c r="AG117" s="10">
        <v>2007</v>
      </c>
      <c r="AH117" s="10">
        <v>8</v>
      </c>
      <c r="AI117" s="10">
        <v>275.390513586027</v>
      </c>
      <c r="AK117" s="10">
        <v>2007</v>
      </c>
      <c r="AL117" s="10">
        <v>8</v>
      </c>
      <c r="AM117" s="10">
        <v>275.45003291847701</v>
      </c>
      <c r="AO117" s="10">
        <v>2007</v>
      </c>
      <c r="AP117" s="10">
        <v>8</v>
      </c>
      <c r="AQ117" s="10">
        <v>275.30028005008802</v>
      </c>
      <c r="AS117" s="10">
        <v>2007</v>
      </c>
      <c r="AT117" s="10">
        <v>8</v>
      </c>
      <c r="AU117" s="10">
        <v>275.27484332200902</v>
      </c>
      <c r="AW117" s="10">
        <v>2007</v>
      </c>
      <c r="AX117" s="10">
        <v>8</v>
      </c>
      <c r="AY117" s="10">
        <v>275.26851732453798</v>
      </c>
    </row>
    <row r="118" spans="1:51" x14ac:dyDescent="0.25">
      <c r="A118" s="8">
        <v>2007</v>
      </c>
      <c r="B118" s="8">
        <v>9</v>
      </c>
      <c r="C118" s="10">
        <v>246.99318585114099</v>
      </c>
      <c r="E118" s="10">
        <v>2007</v>
      </c>
      <c r="F118" s="10">
        <v>9</v>
      </c>
      <c r="G118" s="10">
        <v>248.52377477504899</v>
      </c>
      <c r="I118" s="10">
        <v>2007</v>
      </c>
      <c r="J118" s="10">
        <v>9</v>
      </c>
      <c r="K118" s="10">
        <v>248.507915776017</v>
      </c>
      <c r="M118" s="10">
        <v>2007</v>
      </c>
      <c r="N118" s="10">
        <v>9</v>
      </c>
      <c r="O118" s="10">
        <v>248.58728574362101</v>
      </c>
      <c r="Q118" s="10">
        <v>2007</v>
      </c>
      <c r="R118" s="10">
        <v>9</v>
      </c>
      <c r="S118" s="10">
        <v>248.65478834177799</v>
      </c>
      <c r="U118" s="10">
        <v>2007</v>
      </c>
      <c r="V118" s="10">
        <v>9</v>
      </c>
      <c r="W118" s="10">
        <v>248.760332200037</v>
      </c>
      <c r="Y118" s="17">
        <v>2012</v>
      </c>
      <c r="Z118" s="17">
        <v>9</v>
      </c>
      <c r="AA118" s="17">
        <v>79576.0379128153</v>
      </c>
      <c r="AC118" s="10">
        <v>2007</v>
      </c>
      <c r="AD118" s="10">
        <v>9</v>
      </c>
      <c r="AE118" s="10">
        <v>248.751948820688</v>
      </c>
      <c r="AG118" s="10">
        <v>2007</v>
      </c>
      <c r="AH118" s="10">
        <v>9</v>
      </c>
      <c r="AI118" s="10">
        <v>248.79882169161201</v>
      </c>
      <c r="AK118" s="10">
        <v>2007</v>
      </c>
      <c r="AL118" s="10">
        <v>9</v>
      </c>
      <c r="AM118" s="10">
        <v>248.73398794014</v>
      </c>
      <c r="AO118" s="10">
        <v>2007</v>
      </c>
      <c r="AP118" s="10">
        <v>9</v>
      </c>
      <c r="AQ118" s="10">
        <v>248.93478128753699</v>
      </c>
      <c r="AS118" s="10">
        <v>2007</v>
      </c>
      <c r="AT118" s="10">
        <v>9</v>
      </c>
      <c r="AU118" s="10">
        <v>249.18413139574699</v>
      </c>
      <c r="AW118" s="10">
        <v>2007</v>
      </c>
      <c r="AX118" s="10">
        <v>9</v>
      </c>
      <c r="AY118" s="10">
        <v>249.195718159872</v>
      </c>
    </row>
    <row r="119" spans="1:51" x14ac:dyDescent="0.25">
      <c r="A119" s="8">
        <v>2007</v>
      </c>
      <c r="B119" s="8">
        <v>10</v>
      </c>
      <c r="C119" s="10">
        <v>273.06221405731299</v>
      </c>
      <c r="E119" s="10">
        <v>2007</v>
      </c>
      <c r="F119" s="10">
        <v>10</v>
      </c>
      <c r="G119" s="10">
        <v>272.079435798796</v>
      </c>
      <c r="I119" s="10">
        <v>2007</v>
      </c>
      <c r="J119" s="10">
        <v>10</v>
      </c>
      <c r="K119" s="10">
        <v>272.083615703193</v>
      </c>
      <c r="M119" s="10">
        <v>2007</v>
      </c>
      <c r="N119" s="10">
        <v>10</v>
      </c>
      <c r="O119" s="10">
        <v>272.04388959876002</v>
      </c>
      <c r="Q119" s="10">
        <v>2007</v>
      </c>
      <c r="R119" s="10">
        <v>10</v>
      </c>
      <c r="S119" s="10">
        <v>271.99667093476501</v>
      </c>
      <c r="U119" s="10">
        <v>2007</v>
      </c>
      <c r="V119" s="10">
        <v>10</v>
      </c>
      <c r="W119" s="10">
        <v>271.91505784547098</v>
      </c>
      <c r="Y119" s="17">
        <v>2012</v>
      </c>
      <c r="Z119" s="17">
        <v>10</v>
      </c>
      <c r="AA119" s="17">
        <v>79778.019146193998</v>
      </c>
      <c r="AC119" s="10">
        <v>2007</v>
      </c>
      <c r="AD119" s="10">
        <v>10</v>
      </c>
      <c r="AE119" s="10">
        <v>271.923139839268</v>
      </c>
      <c r="AG119" s="10">
        <v>2007</v>
      </c>
      <c r="AH119" s="10">
        <v>10</v>
      </c>
      <c r="AI119" s="10">
        <v>271.88685063423202</v>
      </c>
      <c r="AK119" s="10">
        <v>2007</v>
      </c>
      <c r="AL119" s="10">
        <v>10</v>
      </c>
      <c r="AM119" s="10">
        <v>271.92021962973502</v>
      </c>
      <c r="AO119" s="10">
        <v>2007</v>
      </c>
      <c r="AP119" s="10">
        <v>10</v>
      </c>
      <c r="AQ119" s="10">
        <v>271.92206317810599</v>
      </c>
      <c r="AS119" s="10">
        <v>2007</v>
      </c>
      <c r="AT119" s="10">
        <v>10</v>
      </c>
      <c r="AU119" s="10">
        <v>271.82073855576198</v>
      </c>
      <c r="AW119" s="10">
        <v>2007</v>
      </c>
      <c r="AX119" s="10">
        <v>10</v>
      </c>
      <c r="AY119" s="10">
        <v>271.81626689920603</v>
      </c>
    </row>
    <row r="120" spans="1:51" x14ac:dyDescent="0.25">
      <c r="A120" s="8">
        <v>2007</v>
      </c>
      <c r="B120" s="8">
        <v>11</v>
      </c>
      <c r="C120" s="10">
        <v>295.10950296098298</v>
      </c>
      <c r="E120" s="10">
        <v>2007</v>
      </c>
      <c r="F120" s="10">
        <v>11</v>
      </c>
      <c r="G120" s="10">
        <v>294.32135047618402</v>
      </c>
      <c r="I120" s="10">
        <v>2007</v>
      </c>
      <c r="J120" s="10">
        <v>11</v>
      </c>
      <c r="K120" s="10">
        <v>294.32604757585301</v>
      </c>
      <c r="M120" s="10">
        <v>2007</v>
      </c>
      <c r="N120" s="10">
        <v>11</v>
      </c>
      <c r="O120" s="10">
        <v>294.293350700828</v>
      </c>
      <c r="Q120" s="10">
        <v>2007</v>
      </c>
      <c r="R120" s="10">
        <v>11</v>
      </c>
      <c r="S120" s="10">
        <v>294.23925596380701</v>
      </c>
      <c r="U120" s="10">
        <v>2007</v>
      </c>
      <c r="V120" s="10">
        <v>11</v>
      </c>
      <c r="W120" s="10">
        <v>294.16961608162001</v>
      </c>
      <c r="Y120" s="17">
        <v>2012</v>
      </c>
      <c r="Z120" s="17">
        <v>11</v>
      </c>
      <c r="AA120" s="17">
        <v>80711.150302555194</v>
      </c>
      <c r="AC120" s="10">
        <v>2007</v>
      </c>
      <c r="AD120" s="10">
        <v>11</v>
      </c>
      <c r="AE120" s="10">
        <v>294.17780131492401</v>
      </c>
      <c r="AG120" s="10">
        <v>2007</v>
      </c>
      <c r="AH120" s="10">
        <v>11</v>
      </c>
      <c r="AI120" s="10">
        <v>294.15237311253702</v>
      </c>
      <c r="AK120" s="10">
        <v>2007</v>
      </c>
      <c r="AL120" s="10">
        <v>11</v>
      </c>
      <c r="AM120" s="10">
        <v>294.17994605341102</v>
      </c>
      <c r="AO120" s="10">
        <v>2007</v>
      </c>
      <c r="AP120" s="10">
        <v>11</v>
      </c>
      <c r="AQ120" s="10">
        <v>294.17032252164199</v>
      </c>
      <c r="AS120" s="10">
        <v>2007</v>
      </c>
      <c r="AT120" s="10">
        <v>11</v>
      </c>
      <c r="AU120" s="10">
        <v>294.029469045143</v>
      </c>
      <c r="AW120" s="10">
        <v>2007</v>
      </c>
      <c r="AX120" s="10">
        <v>11</v>
      </c>
      <c r="AY120" s="10">
        <v>294.03298188521501</v>
      </c>
    </row>
    <row r="121" spans="1:51" x14ac:dyDescent="0.25">
      <c r="A121" s="8">
        <v>2007</v>
      </c>
      <c r="B121" s="8">
        <v>12</v>
      </c>
      <c r="C121" s="10">
        <v>281.27502855069503</v>
      </c>
      <c r="E121" s="10">
        <v>2007</v>
      </c>
      <c r="F121" s="10">
        <v>12</v>
      </c>
      <c r="G121" s="10">
        <v>283.18845824722302</v>
      </c>
      <c r="I121" s="10">
        <v>2007</v>
      </c>
      <c r="J121" s="10">
        <v>12</v>
      </c>
      <c r="K121" s="10">
        <v>283.17623722747101</v>
      </c>
      <c r="M121" s="10">
        <v>2007</v>
      </c>
      <c r="N121" s="10">
        <v>12</v>
      </c>
      <c r="O121" s="10">
        <v>283.25872559920799</v>
      </c>
      <c r="Q121" s="10">
        <v>2007</v>
      </c>
      <c r="R121" s="10">
        <v>12</v>
      </c>
      <c r="S121" s="10">
        <v>283.34178357948298</v>
      </c>
      <c r="U121" s="10">
        <v>2007</v>
      </c>
      <c r="V121" s="10">
        <v>12</v>
      </c>
      <c r="W121" s="10">
        <v>283.47464057883599</v>
      </c>
      <c r="Y121" s="17">
        <v>2012</v>
      </c>
      <c r="Z121" s="17">
        <v>12</v>
      </c>
      <c r="AA121" s="17">
        <v>81840.208325247106</v>
      </c>
      <c r="AC121" s="10">
        <v>2007</v>
      </c>
      <c r="AD121" s="10">
        <v>12</v>
      </c>
      <c r="AE121" s="10">
        <v>283.46325053611298</v>
      </c>
      <c r="AG121" s="10">
        <v>2007</v>
      </c>
      <c r="AH121" s="10">
        <v>12</v>
      </c>
      <c r="AI121" s="10">
        <v>283.514385868663</v>
      </c>
      <c r="AK121" s="10">
        <v>2007</v>
      </c>
      <c r="AL121" s="10">
        <v>12</v>
      </c>
      <c r="AM121" s="10">
        <v>283.44653934472001</v>
      </c>
      <c r="AO121" s="10">
        <v>2007</v>
      </c>
      <c r="AP121" s="10">
        <v>12</v>
      </c>
      <c r="AQ121" s="10">
        <v>283.53678763063698</v>
      </c>
      <c r="AS121" s="10">
        <v>2007</v>
      </c>
      <c r="AT121" s="10">
        <v>12</v>
      </c>
      <c r="AU121" s="10">
        <v>283.49028541150301</v>
      </c>
      <c r="AW121" s="10">
        <v>2007</v>
      </c>
      <c r="AX121" s="10">
        <v>12</v>
      </c>
      <c r="AY121" s="10">
        <v>283.48788282288001</v>
      </c>
    </row>
    <row r="122" spans="1:51" x14ac:dyDescent="0.25">
      <c r="A122" s="8">
        <v>2008</v>
      </c>
      <c r="B122" s="8">
        <v>1</v>
      </c>
      <c r="C122" s="10">
        <v>279.35892149032401</v>
      </c>
      <c r="E122" s="10">
        <v>2008</v>
      </c>
      <c r="F122" s="10">
        <v>1</v>
      </c>
      <c r="G122" s="10">
        <v>278.865742936674</v>
      </c>
      <c r="I122" s="10">
        <v>2008</v>
      </c>
      <c r="J122" s="10">
        <v>1</v>
      </c>
      <c r="K122" s="10">
        <v>278.87519870120099</v>
      </c>
      <c r="M122" s="10">
        <v>2008</v>
      </c>
      <c r="N122" s="10">
        <v>1</v>
      </c>
      <c r="O122" s="10">
        <v>278.82703662603097</v>
      </c>
      <c r="Q122" s="10">
        <v>2008</v>
      </c>
      <c r="R122" s="10">
        <v>1</v>
      </c>
      <c r="S122" s="10">
        <v>278.75955462694299</v>
      </c>
      <c r="U122" s="10">
        <v>2008</v>
      </c>
      <c r="V122" s="10">
        <v>1</v>
      </c>
      <c r="W122" s="10">
        <v>278.66724555436502</v>
      </c>
      <c r="Y122" s="17">
        <v>2013</v>
      </c>
      <c r="Z122" s="17">
        <v>1</v>
      </c>
      <c r="AA122" s="17">
        <v>82471.110973328206</v>
      </c>
      <c r="AC122" s="10">
        <v>2008</v>
      </c>
      <c r="AD122" s="10">
        <v>1</v>
      </c>
      <c r="AE122" s="10">
        <v>278.67900650320399</v>
      </c>
      <c r="AG122" s="10">
        <v>2008</v>
      </c>
      <c r="AH122" s="10">
        <v>1</v>
      </c>
      <c r="AI122" s="10">
        <v>278.64137805206099</v>
      </c>
      <c r="AK122" s="10">
        <v>2008</v>
      </c>
      <c r="AL122" s="10">
        <v>1</v>
      </c>
      <c r="AM122" s="10">
        <v>278.68019617889303</v>
      </c>
      <c r="AO122" s="10">
        <v>2008</v>
      </c>
      <c r="AP122" s="10">
        <v>1</v>
      </c>
      <c r="AQ122" s="10">
        <v>278.62348612366299</v>
      </c>
      <c r="AS122" s="10">
        <v>2008</v>
      </c>
      <c r="AT122" s="10">
        <v>1</v>
      </c>
      <c r="AU122" s="10">
        <v>278.75575813097998</v>
      </c>
      <c r="AW122" s="10">
        <v>2008</v>
      </c>
      <c r="AX122" s="10">
        <v>1</v>
      </c>
      <c r="AY122" s="10">
        <v>278.75277118888198</v>
      </c>
    </row>
    <row r="123" spans="1:51" x14ac:dyDescent="0.25">
      <c r="A123" s="8">
        <v>2008</v>
      </c>
      <c r="B123" s="8">
        <v>2</v>
      </c>
      <c r="C123" s="10">
        <v>284.04529548413501</v>
      </c>
      <c r="E123" s="10">
        <v>2008</v>
      </c>
      <c r="F123" s="10">
        <v>2</v>
      </c>
      <c r="G123" s="10">
        <v>284.14228692938099</v>
      </c>
      <c r="I123" s="10">
        <v>2008</v>
      </c>
      <c r="J123" s="10">
        <v>2</v>
      </c>
      <c r="K123" s="10">
        <v>284.15933029059102</v>
      </c>
      <c r="M123" s="10">
        <v>2008</v>
      </c>
      <c r="N123" s="10">
        <v>2</v>
      </c>
      <c r="O123" s="10">
        <v>284.12971794457798</v>
      </c>
      <c r="Q123" s="10">
        <v>2008</v>
      </c>
      <c r="R123" s="10">
        <v>2</v>
      </c>
      <c r="S123" s="10">
        <v>284.14122676715601</v>
      </c>
      <c r="U123" s="10">
        <v>2008</v>
      </c>
      <c r="V123" s="10">
        <v>2</v>
      </c>
      <c r="W123" s="10">
        <v>283.94567997078201</v>
      </c>
      <c r="Y123" s="17">
        <v>2013</v>
      </c>
      <c r="Z123" s="17">
        <v>2</v>
      </c>
      <c r="AA123" s="17">
        <v>83489.080463167804</v>
      </c>
      <c r="AC123" s="10">
        <v>2008</v>
      </c>
      <c r="AD123" s="10">
        <v>2</v>
      </c>
      <c r="AE123" s="10">
        <v>283.95178106735898</v>
      </c>
      <c r="AG123" s="10">
        <v>2008</v>
      </c>
      <c r="AH123" s="10">
        <v>2</v>
      </c>
      <c r="AI123" s="10">
        <v>283.92513168568399</v>
      </c>
      <c r="AK123" s="10">
        <v>2008</v>
      </c>
      <c r="AL123" s="10">
        <v>2</v>
      </c>
      <c r="AM123" s="10">
        <v>283.94430422772001</v>
      </c>
      <c r="AO123" s="10">
        <v>2008</v>
      </c>
      <c r="AP123" s="10">
        <v>2</v>
      </c>
      <c r="AQ123" s="10">
        <v>283.92140278036698</v>
      </c>
      <c r="AS123" s="10">
        <v>2008</v>
      </c>
      <c r="AT123" s="10">
        <v>2</v>
      </c>
      <c r="AU123" s="10">
        <v>283.32769082897801</v>
      </c>
      <c r="AW123" s="10">
        <v>2008</v>
      </c>
      <c r="AX123" s="10">
        <v>2</v>
      </c>
      <c r="AY123" s="10">
        <v>283.20982803156699</v>
      </c>
    </row>
    <row r="124" spans="1:51" x14ac:dyDescent="0.25">
      <c r="A124" s="8">
        <v>2008</v>
      </c>
      <c r="B124" s="8">
        <v>3</v>
      </c>
      <c r="C124" s="10">
        <v>171.33221819224499</v>
      </c>
      <c r="E124" s="10">
        <v>2008</v>
      </c>
      <c r="F124" s="10">
        <v>3</v>
      </c>
      <c r="G124" s="10">
        <v>170.617136137405</v>
      </c>
      <c r="I124" s="10">
        <v>2008</v>
      </c>
      <c r="J124" s="10">
        <v>3</v>
      </c>
      <c r="K124" s="10">
        <v>170.589116974001</v>
      </c>
      <c r="M124" s="10">
        <v>2008</v>
      </c>
      <c r="N124" s="10">
        <v>3</v>
      </c>
      <c r="O124" s="10">
        <v>170.64937180194201</v>
      </c>
      <c r="Q124" s="10">
        <v>2008</v>
      </c>
      <c r="R124" s="10">
        <v>3</v>
      </c>
      <c r="S124" s="10">
        <v>170.69359667363199</v>
      </c>
      <c r="U124" s="10">
        <v>2008</v>
      </c>
      <c r="V124" s="10">
        <v>3</v>
      </c>
      <c r="W124" s="10">
        <v>170.60996959751699</v>
      </c>
      <c r="Y124" s="17">
        <v>2013</v>
      </c>
      <c r="Z124" s="17">
        <v>3</v>
      </c>
      <c r="AA124" s="17">
        <v>84397.118491707603</v>
      </c>
      <c r="AC124" s="10">
        <v>2008</v>
      </c>
      <c r="AD124" s="10">
        <v>3</v>
      </c>
      <c r="AE124" s="10">
        <v>170.62678337820799</v>
      </c>
      <c r="AG124" s="10">
        <v>2008</v>
      </c>
      <c r="AH124" s="10">
        <v>3</v>
      </c>
      <c r="AI124" s="10">
        <v>170.68473374447501</v>
      </c>
      <c r="AK124" s="10">
        <v>2008</v>
      </c>
      <c r="AL124" s="10">
        <v>3</v>
      </c>
      <c r="AM124" s="10">
        <v>170.637466126655</v>
      </c>
      <c r="AO124" s="10">
        <v>2008</v>
      </c>
      <c r="AP124" s="10">
        <v>3</v>
      </c>
      <c r="AQ124" s="10">
        <v>170.64703173284599</v>
      </c>
      <c r="AS124" s="10">
        <v>2008</v>
      </c>
      <c r="AT124" s="10">
        <v>3</v>
      </c>
      <c r="AU124" s="10">
        <v>170.85770568259599</v>
      </c>
      <c r="AW124" s="10">
        <v>2008</v>
      </c>
      <c r="AX124" s="10">
        <v>3</v>
      </c>
      <c r="AY124" s="10">
        <v>170.875355821813</v>
      </c>
    </row>
    <row r="125" spans="1:51" x14ac:dyDescent="0.25">
      <c r="A125" s="8">
        <v>2008</v>
      </c>
      <c r="B125" s="8">
        <v>4</v>
      </c>
      <c r="C125" s="10">
        <v>298.18109618670502</v>
      </c>
      <c r="E125" s="10">
        <v>2008</v>
      </c>
      <c r="F125" s="10">
        <v>4</v>
      </c>
      <c r="G125" s="10">
        <v>299.93970599929099</v>
      </c>
      <c r="I125" s="10">
        <v>2008</v>
      </c>
      <c r="J125" s="10">
        <v>4</v>
      </c>
      <c r="K125" s="10">
        <v>299.97487511038702</v>
      </c>
      <c r="M125" s="10">
        <v>2008</v>
      </c>
      <c r="N125" s="10">
        <v>4</v>
      </c>
      <c r="O125" s="10">
        <v>299.95051817442697</v>
      </c>
      <c r="Q125" s="10">
        <v>2008</v>
      </c>
      <c r="R125" s="10">
        <v>4</v>
      </c>
      <c r="S125" s="10">
        <v>300.08114985804298</v>
      </c>
      <c r="U125" s="10">
        <v>2008</v>
      </c>
      <c r="V125" s="10">
        <v>4</v>
      </c>
      <c r="W125" s="10">
        <v>300.35286304578898</v>
      </c>
      <c r="Y125" s="17">
        <v>2013</v>
      </c>
      <c r="Z125" s="17">
        <v>4</v>
      </c>
      <c r="AA125" s="17">
        <v>85490.029634062696</v>
      </c>
      <c r="AC125" s="10">
        <v>2008</v>
      </c>
      <c r="AD125" s="10">
        <v>4</v>
      </c>
      <c r="AE125" s="10">
        <v>300.35112958067799</v>
      </c>
      <c r="AG125" s="10">
        <v>2008</v>
      </c>
      <c r="AH125" s="10">
        <v>4</v>
      </c>
      <c r="AI125" s="10">
        <v>300.33463672747598</v>
      </c>
      <c r="AK125" s="10">
        <v>2008</v>
      </c>
      <c r="AL125" s="10">
        <v>4</v>
      </c>
      <c r="AM125" s="10">
        <v>300.351758550478</v>
      </c>
      <c r="AO125" s="10">
        <v>2008</v>
      </c>
      <c r="AP125" s="10">
        <v>4</v>
      </c>
      <c r="AQ125" s="10">
        <v>300.37505524908602</v>
      </c>
      <c r="AS125" s="10">
        <v>2008</v>
      </c>
      <c r="AT125" s="10">
        <v>4</v>
      </c>
      <c r="AU125" s="10">
        <v>300.56283263917101</v>
      </c>
      <c r="AW125" s="10">
        <v>2008</v>
      </c>
      <c r="AX125" s="10">
        <v>4</v>
      </c>
      <c r="AY125" s="10">
        <v>300.55606283623399</v>
      </c>
    </row>
    <row r="126" spans="1:51" x14ac:dyDescent="0.25">
      <c r="A126" s="8">
        <v>2008</v>
      </c>
      <c r="B126" s="8">
        <v>5</v>
      </c>
      <c r="C126" s="10">
        <v>239.28019422896901</v>
      </c>
      <c r="E126" s="10">
        <v>2008</v>
      </c>
      <c r="F126" s="10">
        <v>5</v>
      </c>
      <c r="G126" s="10">
        <v>237.65429060329899</v>
      </c>
      <c r="I126" s="10">
        <v>2008</v>
      </c>
      <c r="J126" s="10">
        <v>5</v>
      </c>
      <c r="K126" s="10">
        <v>237.65544514973701</v>
      </c>
      <c r="M126" s="10">
        <v>2008</v>
      </c>
      <c r="N126" s="10">
        <v>5</v>
      </c>
      <c r="O126" s="10">
        <v>237.66596052978599</v>
      </c>
      <c r="Q126" s="10">
        <v>2008</v>
      </c>
      <c r="R126" s="10">
        <v>5</v>
      </c>
      <c r="S126" s="10">
        <v>237.66186707015399</v>
      </c>
      <c r="U126" s="10">
        <v>2008</v>
      </c>
      <c r="V126" s="10">
        <v>5</v>
      </c>
      <c r="W126" s="10">
        <v>237.720572795512</v>
      </c>
      <c r="Y126" s="17">
        <v>2013</v>
      </c>
      <c r="Z126" s="17">
        <v>5</v>
      </c>
      <c r="AA126" s="17">
        <v>86181.390158422204</v>
      </c>
      <c r="AC126" s="10">
        <v>2008</v>
      </c>
      <c r="AD126" s="10">
        <v>5</v>
      </c>
      <c r="AE126" s="10">
        <v>237.68677676108001</v>
      </c>
      <c r="AG126" s="10">
        <v>2008</v>
      </c>
      <c r="AH126" s="10">
        <v>5</v>
      </c>
      <c r="AI126" s="10">
        <v>237.73421574521899</v>
      </c>
      <c r="AK126" s="10">
        <v>2008</v>
      </c>
      <c r="AL126" s="10">
        <v>5</v>
      </c>
      <c r="AM126" s="10">
        <v>237.72290356772601</v>
      </c>
      <c r="AO126" s="10">
        <v>2008</v>
      </c>
      <c r="AP126" s="10">
        <v>5</v>
      </c>
      <c r="AQ126" s="10">
        <v>237.66916400598399</v>
      </c>
      <c r="AS126" s="10">
        <v>2008</v>
      </c>
      <c r="AT126" s="10">
        <v>5</v>
      </c>
      <c r="AU126" s="10">
        <v>237.542903856485</v>
      </c>
      <c r="AW126" s="10">
        <v>2008</v>
      </c>
      <c r="AX126" s="10">
        <v>5</v>
      </c>
      <c r="AY126" s="10">
        <v>237.54354046719601</v>
      </c>
    </row>
    <row r="127" spans="1:51" x14ac:dyDescent="0.25">
      <c r="A127" s="8">
        <v>2008</v>
      </c>
      <c r="B127" s="8">
        <v>6</v>
      </c>
      <c r="C127" s="10">
        <v>224.493744539197</v>
      </c>
      <c r="E127" s="10">
        <v>2008</v>
      </c>
      <c r="F127" s="10">
        <v>6</v>
      </c>
      <c r="G127" s="10">
        <v>226.35399265356</v>
      </c>
      <c r="I127" s="10">
        <v>2008</v>
      </c>
      <c r="J127" s="10">
        <v>6</v>
      </c>
      <c r="K127" s="10">
        <v>226.357888680325</v>
      </c>
      <c r="M127" s="10">
        <v>2008</v>
      </c>
      <c r="N127" s="10">
        <v>6</v>
      </c>
      <c r="O127" s="10">
        <v>226.387275996521</v>
      </c>
      <c r="Q127" s="10">
        <v>2008</v>
      </c>
      <c r="R127" s="10">
        <v>6</v>
      </c>
      <c r="S127" s="10">
        <v>226.40666498546199</v>
      </c>
      <c r="U127" s="10">
        <v>2008</v>
      </c>
      <c r="V127" s="10">
        <v>6</v>
      </c>
      <c r="W127" s="10">
        <v>226.47094656779001</v>
      </c>
      <c r="Y127" s="17">
        <v>2013</v>
      </c>
      <c r="Z127" s="17">
        <v>6</v>
      </c>
      <c r="AA127" s="17">
        <v>86598.795686248995</v>
      </c>
      <c r="AC127" s="10">
        <v>2008</v>
      </c>
      <c r="AD127" s="10">
        <v>6</v>
      </c>
      <c r="AE127" s="10">
        <v>226.45332780637401</v>
      </c>
      <c r="AG127" s="10">
        <v>2008</v>
      </c>
      <c r="AH127" s="10">
        <v>6</v>
      </c>
      <c r="AI127" s="10">
        <v>226.51630545614501</v>
      </c>
      <c r="AK127" s="10">
        <v>2008</v>
      </c>
      <c r="AL127" s="10">
        <v>6</v>
      </c>
      <c r="AM127" s="10">
        <v>226.488250946172</v>
      </c>
      <c r="AO127" s="10">
        <v>2008</v>
      </c>
      <c r="AP127" s="10">
        <v>6</v>
      </c>
      <c r="AQ127" s="10">
        <v>226.464883790709</v>
      </c>
      <c r="AS127" s="10">
        <v>2008</v>
      </c>
      <c r="AT127" s="10">
        <v>6</v>
      </c>
      <c r="AU127" s="10">
        <v>226.024074357671</v>
      </c>
      <c r="AW127" s="10">
        <v>2008</v>
      </c>
      <c r="AX127" s="10">
        <v>6</v>
      </c>
      <c r="AY127" s="10">
        <v>226.02611492915</v>
      </c>
    </row>
    <row r="128" spans="1:51" x14ac:dyDescent="0.25">
      <c r="A128" s="8">
        <v>2008</v>
      </c>
      <c r="B128" s="8">
        <v>7</v>
      </c>
      <c r="C128" s="10">
        <v>281.96646622615998</v>
      </c>
      <c r="E128" s="10">
        <v>2008</v>
      </c>
      <c r="F128" s="10">
        <v>7</v>
      </c>
      <c r="G128" s="10">
        <v>281.13588267764999</v>
      </c>
      <c r="I128" s="10">
        <v>2008</v>
      </c>
      <c r="J128" s="10">
        <v>7</v>
      </c>
      <c r="K128" s="10">
        <v>281.13168736487302</v>
      </c>
      <c r="M128" s="10">
        <v>2008</v>
      </c>
      <c r="N128" s="10">
        <v>7</v>
      </c>
      <c r="O128" s="10">
        <v>281.086209213627</v>
      </c>
      <c r="Q128" s="10">
        <v>2008</v>
      </c>
      <c r="R128" s="10">
        <v>7</v>
      </c>
      <c r="S128" s="10">
        <v>281.02509549848298</v>
      </c>
      <c r="U128" s="10">
        <v>2008</v>
      </c>
      <c r="V128" s="10">
        <v>7</v>
      </c>
      <c r="W128" s="10">
        <v>280.918444205757</v>
      </c>
      <c r="Y128" s="17">
        <v>2013</v>
      </c>
      <c r="Z128" s="17">
        <v>7</v>
      </c>
      <c r="AA128" s="17">
        <v>86469.712106836305</v>
      </c>
      <c r="AC128" s="10">
        <v>2008</v>
      </c>
      <c r="AD128" s="10">
        <v>7</v>
      </c>
      <c r="AE128" s="10">
        <v>280.92519352052398</v>
      </c>
      <c r="AG128" s="10">
        <v>2008</v>
      </c>
      <c r="AH128" s="10">
        <v>7</v>
      </c>
      <c r="AI128" s="10">
        <v>280.86328763677102</v>
      </c>
      <c r="AK128" s="10">
        <v>2008</v>
      </c>
      <c r="AL128" s="10">
        <v>7</v>
      </c>
      <c r="AM128" s="10">
        <v>280.90375911311799</v>
      </c>
      <c r="AO128" s="10">
        <v>2008</v>
      </c>
      <c r="AP128" s="10">
        <v>7</v>
      </c>
      <c r="AQ128" s="10">
        <v>280.84217691703702</v>
      </c>
      <c r="AS128" s="10">
        <v>2008</v>
      </c>
      <c r="AT128" s="10">
        <v>7</v>
      </c>
      <c r="AU128" s="10">
        <v>280.93607749481203</v>
      </c>
      <c r="AW128" s="10">
        <v>2008</v>
      </c>
      <c r="AX128" s="10">
        <v>7</v>
      </c>
      <c r="AY128" s="10">
        <v>280.9320138041</v>
      </c>
    </row>
    <row r="129" spans="1:51" x14ac:dyDescent="0.25">
      <c r="A129" s="8">
        <v>2008</v>
      </c>
      <c r="B129" s="8">
        <v>8</v>
      </c>
      <c r="C129" s="10">
        <v>277.61595154960901</v>
      </c>
      <c r="E129" s="10">
        <v>2008</v>
      </c>
      <c r="F129" s="10">
        <v>8</v>
      </c>
      <c r="G129" s="10">
        <v>277.30233446576898</v>
      </c>
      <c r="I129" s="10">
        <v>2008</v>
      </c>
      <c r="J129" s="10">
        <v>8</v>
      </c>
      <c r="K129" s="10">
        <v>277.28526044371603</v>
      </c>
      <c r="M129" s="10">
        <v>2008</v>
      </c>
      <c r="N129" s="10">
        <v>8</v>
      </c>
      <c r="O129" s="10">
        <v>277.299606856563</v>
      </c>
      <c r="Q129" s="10">
        <v>2008</v>
      </c>
      <c r="R129" s="10">
        <v>8</v>
      </c>
      <c r="S129" s="10">
        <v>277.29505605013401</v>
      </c>
      <c r="U129" s="10">
        <v>2008</v>
      </c>
      <c r="V129" s="10">
        <v>8</v>
      </c>
      <c r="W129" s="10">
        <v>277.259111185736</v>
      </c>
      <c r="Y129" s="17">
        <v>2013</v>
      </c>
      <c r="Z129" s="17">
        <v>8</v>
      </c>
      <c r="AA129" s="17">
        <v>86793.057397275203</v>
      </c>
      <c r="AC129" s="10">
        <v>2008</v>
      </c>
      <c r="AD129" s="10">
        <v>8</v>
      </c>
      <c r="AE129" s="10">
        <v>277.26134277435398</v>
      </c>
      <c r="AG129" s="10">
        <v>2008</v>
      </c>
      <c r="AH129" s="10">
        <v>8</v>
      </c>
      <c r="AI129" s="10">
        <v>277.23194577167999</v>
      </c>
      <c r="AK129" s="10">
        <v>2008</v>
      </c>
      <c r="AL129" s="10">
        <v>8</v>
      </c>
      <c r="AM129" s="10">
        <v>277.22561602910798</v>
      </c>
      <c r="AO129" s="10">
        <v>2008</v>
      </c>
      <c r="AP129" s="10">
        <v>8</v>
      </c>
      <c r="AQ129" s="10">
        <v>277.16516879442298</v>
      </c>
      <c r="AS129" s="10">
        <v>2008</v>
      </c>
      <c r="AT129" s="10">
        <v>8</v>
      </c>
      <c r="AU129" s="10">
        <v>276.95141508924002</v>
      </c>
      <c r="AW129" s="10">
        <v>2008</v>
      </c>
      <c r="AX129" s="10">
        <v>8</v>
      </c>
      <c r="AY129" s="10">
        <v>276.94852627921398</v>
      </c>
    </row>
    <row r="130" spans="1:51" x14ac:dyDescent="0.25">
      <c r="A130" s="8">
        <v>2008</v>
      </c>
      <c r="B130" s="8">
        <v>9</v>
      </c>
      <c r="C130" s="10">
        <v>278.382245904748</v>
      </c>
      <c r="E130" s="10">
        <v>2008</v>
      </c>
      <c r="F130" s="10">
        <v>9</v>
      </c>
      <c r="G130" s="10">
        <v>278.440215612418</v>
      </c>
      <c r="I130" s="10">
        <v>2008</v>
      </c>
      <c r="J130" s="10">
        <v>9</v>
      </c>
      <c r="K130" s="10">
        <v>278.43868724421202</v>
      </c>
      <c r="M130" s="10">
        <v>2008</v>
      </c>
      <c r="N130" s="10">
        <v>9</v>
      </c>
      <c r="O130" s="10">
        <v>278.43176360666899</v>
      </c>
      <c r="Q130" s="10">
        <v>2008</v>
      </c>
      <c r="R130" s="10">
        <v>9</v>
      </c>
      <c r="S130" s="10">
        <v>278.410337621574</v>
      </c>
      <c r="U130" s="10">
        <v>2008</v>
      </c>
      <c r="V130" s="10">
        <v>9</v>
      </c>
      <c r="W130" s="10">
        <v>278.378305459709</v>
      </c>
      <c r="Y130" s="17">
        <v>2013</v>
      </c>
      <c r="Z130" s="17">
        <v>9</v>
      </c>
      <c r="AA130" s="17">
        <v>86797.253945971301</v>
      </c>
      <c r="AC130" s="10">
        <v>2008</v>
      </c>
      <c r="AD130" s="10">
        <v>9</v>
      </c>
      <c r="AE130" s="10">
        <v>278.38259704072198</v>
      </c>
      <c r="AG130" s="10">
        <v>2008</v>
      </c>
      <c r="AH130" s="10">
        <v>9</v>
      </c>
      <c r="AI130" s="10">
        <v>278.36801421953197</v>
      </c>
      <c r="AK130" s="10">
        <v>2008</v>
      </c>
      <c r="AL130" s="10">
        <v>9</v>
      </c>
      <c r="AM130" s="10">
        <v>278.37429846088901</v>
      </c>
      <c r="AO130" s="10">
        <v>2008</v>
      </c>
      <c r="AP130" s="10">
        <v>9</v>
      </c>
      <c r="AQ130" s="10">
        <v>278.49404710578301</v>
      </c>
      <c r="AS130" s="10">
        <v>2008</v>
      </c>
      <c r="AT130" s="10">
        <v>9</v>
      </c>
      <c r="AU130" s="10">
        <v>278.85721655139997</v>
      </c>
      <c r="AW130" s="10">
        <v>2008</v>
      </c>
      <c r="AX130" s="10">
        <v>9</v>
      </c>
      <c r="AY130" s="10">
        <v>278.86564195047799</v>
      </c>
    </row>
    <row r="131" spans="1:51" x14ac:dyDescent="0.25">
      <c r="A131" s="8">
        <v>2008</v>
      </c>
      <c r="B131" s="8">
        <v>10</v>
      </c>
      <c r="C131" s="10">
        <v>265.81734155169499</v>
      </c>
      <c r="E131" s="10">
        <v>2008</v>
      </c>
      <c r="F131" s="10">
        <v>10</v>
      </c>
      <c r="G131" s="10">
        <v>264.58750371623</v>
      </c>
      <c r="I131" s="10">
        <v>2008</v>
      </c>
      <c r="J131" s="10">
        <v>10</v>
      </c>
      <c r="K131" s="10">
        <v>264.59210917122601</v>
      </c>
      <c r="M131" s="10">
        <v>2008</v>
      </c>
      <c r="N131" s="10">
        <v>10</v>
      </c>
      <c r="O131" s="10">
        <v>264.55306754125701</v>
      </c>
      <c r="Q131" s="10">
        <v>2008</v>
      </c>
      <c r="R131" s="10">
        <v>10</v>
      </c>
      <c r="S131" s="10">
        <v>264.50831161151001</v>
      </c>
      <c r="U131" s="10">
        <v>2008</v>
      </c>
      <c r="V131" s="10">
        <v>10</v>
      </c>
      <c r="W131" s="10">
        <v>264.42684813244699</v>
      </c>
      <c r="Y131" s="17">
        <v>2013</v>
      </c>
      <c r="Z131" s="17">
        <v>10</v>
      </c>
      <c r="AA131" s="17">
        <v>86562.760044555995</v>
      </c>
      <c r="AC131" s="10">
        <v>2008</v>
      </c>
      <c r="AD131" s="10">
        <v>10</v>
      </c>
      <c r="AE131" s="10">
        <v>264.43542572724198</v>
      </c>
      <c r="AG131" s="10">
        <v>2008</v>
      </c>
      <c r="AH131" s="10">
        <v>10</v>
      </c>
      <c r="AI131" s="10">
        <v>264.40120551166598</v>
      </c>
      <c r="AK131" s="10">
        <v>2008</v>
      </c>
      <c r="AL131" s="10">
        <v>10</v>
      </c>
      <c r="AM131" s="10">
        <v>264.43386117089602</v>
      </c>
      <c r="AO131" s="10">
        <v>2008</v>
      </c>
      <c r="AP131" s="10">
        <v>10</v>
      </c>
      <c r="AQ131" s="10">
        <v>264.467955341986</v>
      </c>
      <c r="AS131" s="10">
        <v>2008</v>
      </c>
      <c r="AT131" s="10">
        <v>10</v>
      </c>
      <c r="AU131" s="10">
        <v>264.30874492874102</v>
      </c>
      <c r="AW131" s="10">
        <v>2008</v>
      </c>
      <c r="AX131" s="10">
        <v>10</v>
      </c>
      <c r="AY131" s="10">
        <v>264.30323284220401</v>
      </c>
    </row>
    <row r="132" spans="1:51" x14ac:dyDescent="0.25">
      <c r="A132" s="8">
        <v>2008</v>
      </c>
      <c r="B132" s="8">
        <v>11</v>
      </c>
      <c r="C132" s="10">
        <v>260.07599410715699</v>
      </c>
      <c r="E132" s="10">
        <v>2008</v>
      </c>
      <c r="F132" s="10">
        <v>11</v>
      </c>
      <c r="G132" s="10">
        <v>260.70816912732198</v>
      </c>
      <c r="I132" s="10">
        <v>2008</v>
      </c>
      <c r="J132" s="10">
        <v>11</v>
      </c>
      <c r="K132" s="10">
        <v>260.69929941985902</v>
      </c>
      <c r="M132" s="10">
        <v>2008</v>
      </c>
      <c r="N132" s="10">
        <v>11</v>
      </c>
      <c r="O132" s="10">
        <v>260.74967626050397</v>
      </c>
      <c r="Q132" s="10">
        <v>2008</v>
      </c>
      <c r="R132" s="10">
        <v>11</v>
      </c>
      <c r="S132" s="10">
        <v>260.779766706045</v>
      </c>
      <c r="U132" s="10">
        <v>2008</v>
      </c>
      <c r="V132" s="10">
        <v>11</v>
      </c>
      <c r="W132" s="10">
        <v>260.84080630112697</v>
      </c>
      <c r="Y132" s="17">
        <v>2013</v>
      </c>
      <c r="Z132" s="17">
        <v>11</v>
      </c>
      <c r="AA132" s="17">
        <v>85949.143072235005</v>
      </c>
      <c r="AC132" s="10">
        <v>2008</v>
      </c>
      <c r="AD132" s="10">
        <v>11</v>
      </c>
      <c r="AE132" s="10">
        <v>260.837194947851</v>
      </c>
      <c r="AG132" s="10">
        <v>2008</v>
      </c>
      <c r="AH132" s="10">
        <v>11</v>
      </c>
      <c r="AI132" s="10">
        <v>260.871328298246</v>
      </c>
      <c r="AK132" s="10">
        <v>2008</v>
      </c>
      <c r="AL132" s="10">
        <v>11</v>
      </c>
      <c r="AM132" s="10">
        <v>260.83017741899403</v>
      </c>
      <c r="AO132" s="10">
        <v>2008</v>
      </c>
      <c r="AP132" s="10">
        <v>11</v>
      </c>
      <c r="AQ132" s="10">
        <v>260.91988354275298</v>
      </c>
      <c r="AS132" s="10">
        <v>2008</v>
      </c>
      <c r="AT132" s="10">
        <v>11</v>
      </c>
      <c r="AU132" s="10">
        <v>260.73363203918899</v>
      </c>
      <c r="AW132" s="10">
        <v>2008</v>
      </c>
      <c r="AX132" s="10">
        <v>11</v>
      </c>
      <c r="AY132" s="10">
        <v>260.74053933442099</v>
      </c>
    </row>
    <row r="133" spans="1:51" x14ac:dyDescent="0.25">
      <c r="A133" s="8">
        <v>2008</v>
      </c>
      <c r="B133" s="8">
        <v>12</v>
      </c>
      <c r="C133" s="10">
        <v>266.842514119528</v>
      </c>
      <c r="E133" s="10">
        <v>2008</v>
      </c>
      <c r="F133" s="10">
        <v>12</v>
      </c>
      <c r="G133" s="10">
        <v>267.10866204497398</v>
      </c>
      <c r="I133" s="10">
        <v>2008</v>
      </c>
      <c r="J133" s="10">
        <v>12</v>
      </c>
      <c r="K133" s="10">
        <v>267.11157667115901</v>
      </c>
      <c r="M133" s="10">
        <v>2008</v>
      </c>
      <c r="N133" s="10">
        <v>12</v>
      </c>
      <c r="O133" s="10">
        <v>267.10127283378398</v>
      </c>
      <c r="Q133" s="10">
        <v>2008</v>
      </c>
      <c r="R133" s="10">
        <v>12</v>
      </c>
      <c r="S133" s="10">
        <v>267.08850839669498</v>
      </c>
      <c r="U133" s="10">
        <v>2008</v>
      </c>
      <c r="V133" s="10">
        <v>12</v>
      </c>
      <c r="W133" s="10">
        <v>267.07069375141202</v>
      </c>
      <c r="Y133" s="17">
        <v>2013</v>
      </c>
      <c r="Z133" s="17">
        <v>12</v>
      </c>
      <c r="AA133" s="17">
        <v>85339.685331709305</v>
      </c>
      <c r="AC133" s="10">
        <v>2008</v>
      </c>
      <c r="AD133" s="10">
        <v>12</v>
      </c>
      <c r="AE133" s="10">
        <v>267.07296612591102</v>
      </c>
      <c r="AG133" s="10">
        <v>2008</v>
      </c>
      <c r="AH133" s="10">
        <v>12</v>
      </c>
      <c r="AI133" s="10">
        <v>267.05912614170398</v>
      </c>
      <c r="AK133" s="10">
        <v>2008</v>
      </c>
      <c r="AL133" s="10">
        <v>12</v>
      </c>
      <c r="AM133" s="10">
        <v>267.06752563163599</v>
      </c>
      <c r="AO133" s="10">
        <v>2008</v>
      </c>
      <c r="AP133" s="10">
        <v>12</v>
      </c>
      <c r="AQ133" s="10">
        <v>267.04164962047599</v>
      </c>
      <c r="AS133" s="10">
        <v>2008</v>
      </c>
      <c r="AT133" s="10">
        <v>12</v>
      </c>
      <c r="AU133" s="10">
        <v>267.096919543176</v>
      </c>
      <c r="AW133" s="10">
        <v>2008</v>
      </c>
      <c r="AX133" s="10">
        <v>12</v>
      </c>
      <c r="AY133" s="10">
        <v>267.08961126586797</v>
      </c>
    </row>
    <row r="134" spans="1:51" x14ac:dyDescent="0.25">
      <c r="A134" s="8">
        <v>2009</v>
      </c>
      <c r="B134" s="8">
        <v>1</v>
      </c>
      <c r="C134" s="10">
        <v>280.23137853151502</v>
      </c>
      <c r="E134" s="10">
        <v>2009</v>
      </c>
      <c r="F134" s="10">
        <v>1</v>
      </c>
      <c r="G134" s="10">
        <v>280.40140274587702</v>
      </c>
      <c r="I134" s="10">
        <v>2009</v>
      </c>
      <c r="J134" s="10">
        <v>1</v>
      </c>
      <c r="K134" s="10">
        <v>280.40510565435301</v>
      </c>
      <c r="M134" s="10">
        <v>2009</v>
      </c>
      <c r="N134" s="10">
        <v>1</v>
      </c>
      <c r="O134" s="10">
        <v>280.39626806638898</v>
      </c>
      <c r="Q134" s="10">
        <v>2009</v>
      </c>
      <c r="R134" s="10">
        <v>1</v>
      </c>
      <c r="S134" s="10">
        <v>280.37294108692799</v>
      </c>
      <c r="U134" s="10">
        <v>2009</v>
      </c>
      <c r="V134" s="10">
        <v>1</v>
      </c>
      <c r="W134" s="10">
        <v>280.34629533851103</v>
      </c>
      <c r="Y134" s="17">
        <v>2014</v>
      </c>
      <c r="Z134" s="17">
        <v>1</v>
      </c>
      <c r="AA134" s="17">
        <v>84031.310878080403</v>
      </c>
      <c r="AC134" s="10">
        <v>2009</v>
      </c>
      <c r="AD134" s="10">
        <v>1</v>
      </c>
      <c r="AE134" s="10">
        <v>280.35148841146901</v>
      </c>
      <c r="AG134" s="10">
        <v>2009</v>
      </c>
      <c r="AH134" s="10">
        <v>1</v>
      </c>
      <c r="AI134" s="10">
        <v>280.343427377914</v>
      </c>
      <c r="AK134" s="10">
        <v>2009</v>
      </c>
      <c r="AL134" s="10">
        <v>1</v>
      </c>
      <c r="AM134" s="10">
        <v>280.34956550990199</v>
      </c>
      <c r="AO134" s="10">
        <v>2009</v>
      </c>
      <c r="AP134" s="10">
        <v>1</v>
      </c>
      <c r="AQ134" s="10">
        <v>280.34099517077698</v>
      </c>
      <c r="AS134" s="10">
        <v>2009</v>
      </c>
      <c r="AT134" s="10">
        <v>1</v>
      </c>
      <c r="AU134" s="10">
        <v>280.43319946861101</v>
      </c>
      <c r="AW134" s="10">
        <v>2009</v>
      </c>
      <c r="AX134" s="10">
        <v>1</v>
      </c>
      <c r="AY134" s="10">
        <v>280.42966830323201</v>
      </c>
    </row>
    <row r="135" spans="1:51" x14ac:dyDescent="0.25">
      <c r="A135" s="8">
        <v>2009</v>
      </c>
      <c r="B135" s="8">
        <v>2</v>
      </c>
      <c r="C135" s="10">
        <v>278.31888611584702</v>
      </c>
      <c r="E135" s="10">
        <v>2009</v>
      </c>
      <c r="F135" s="10">
        <v>2</v>
      </c>
      <c r="G135" s="10">
        <v>278.55012918358801</v>
      </c>
      <c r="I135" s="10">
        <v>2009</v>
      </c>
      <c r="J135" s="10">
        <v>2</v>
      </c>
      <c r="K135" s="10">
        <v>278.55238662175202</v>
      </c>
      <c r="M135" s="10">
        <v>2009</v>
      </c>
      <c r="N135" s="10">
        <v>2</v>
      </c>
      <c r="O135" s="10">
        <v>278.54893651189099</v>
      </c>
      <c r="Q135" s="10">
        <v>2009</v>
      </c>
      <c r="R135" s="10">
        <v>2</v>
      </c>
      <c r="S135" s="10">
        <v>278.50909117365097</v>
      </c>
      <c r="U135" s="10">
        <v>2009</v>
      </c>
      <c r="V135" s="10">
        <v>2</v>
      </c>
      <c r="W135" s="10">
        <v>278.538579633116</v>
      </c>
      <c r="Y135" s="17">
        <v>2014</v>
      </c>
      <c r="Z135" s="17">
        <v>2</v>
      </c>
      <c r="AA135" s="17">
        <v>82917.176745896795</v>
      </c>
      <c r="AC135" s="10">
        <v>2009</v>
      </c>
      <c r="AD135" s="10">
        <v>2</v>
      </c>
      <c r="AE135" s="10">
        <v>278.54573419131299</v>
      </c>
      <c r="AG135" s="10">
        <v>2009</v>
      </c>
      <c r="AH135" s="10">
        <v>2</v>
      </c>
      <c r="AI135" s="10">
        <v>278.54595703907597</v>
      </c>
      <c r="AK135" s="10">
        <v>2009</v>
      </c>
      <c r="AL135" s="10">
        <v>2</v>
      </c>
      <c r="AM135" s="10">
        <v>278.54815231858902</v>
      </c>
      <c r="AO135" s="10">
        <v>2009</v>
      </c>
      <c r="AP135" s="10">
        <v>2</v>
      </c>
      <c r="AQ135" s="10">
        <v>278.55500586432498</v>
      </c>
      <c r="AS135" s="10">
        <v>2009</v>
      </c>
      <c r="AT135" s="10">
        <v>2</v>
      </c>
      <c r="AU135" s="10">
        <v>278.89786527313902</v>
      </c>
      <c r="AW135" s="10">
        <v>2009</v>
      </c>
      <c r="AX135" s="10">
        <v>2</v>
      </c>
      <c r="AY135" s="10">
        <v>278.93283896340699</v>
      </c>
    </row>
    <row r="136" spans="1:51" x14ac:dyDescent="0.25">
      <c r="A136" s="8">
        <v>2009</v>
      </c>
      <c r="B136" s="8">
        <v>3</v>
      </c>
      <c r="C136" s="10">
        <v>264.40261516741401</v>
      </c>
      <c r="E136" s="10">
        <v>2009</v>
      </c>
      <c r="F136" s="10">
        <v>3</v>
      </c>
      <c r="G136" s="10">
        <v>265.05457021459603</v>
      </c>
      <c r="I136" s="10">
        <v>2009</v>
      </c>
      <c r="J136" s="10">
        <v>3</v>
      </c>
      <c r="K136" s="10">
        <v>265.05430425453</v>
      </c>
      <c r="M136" s="10">
        <v>2009</v>
      </c>
      <c r="N136" s="10">
        <v>3</v>
      </c>
      <c r="O136" s="10">
        <v>265.08638681645698</v>
      </c>
      <c r="Q136" s="10">
        <v>2009</v>
      </c>
      <c r="R136" s="10">
        <v>3</v>
      </c>
      <c r="S136" s="10">
        <v>265.29326995806798</v>
      </c>
      <c r="U136" s="10">
        <v>2009</v>
      </c>
      <c r="V136" s="10">
        <v>3</v>
      </c>
      <c r="W136" s="10">
        <v>265.50872940944902</v>
      </c>
      <c r="Y136" s="17">
        <v>2014</v>
      </c>
      <c r="Z136" s="17">
        <v>3</v>
      </c>
      <c r="AA136" s="17">
        <v>81459.798109818104</v>
      </c>
      <c r="AC136" s="10">
        <v>2009</v>
      </c>
      <c r="AD136" s="10">
        <v>3</v>
      </c>
      <c r="AE136" s="10">
        <v>265.5109693997</v>
      </c>
      <c r="AG136" s="10">
        <v>2009</v>
      </c>
      <c r="AH136" s="10">
        <v>3</v>
      </c>
      <c r="AI136" s="10">
        <v>265.54097818428397</v>
      </c>
      <c r="AK136" s="10">
        <v>2009</v>
      </c>
      <c r="AL136" s="10">
        <v>3</v>
      </c>
      <c r="AM136" s="10">
        <v>265.51718677135398</v>
      </c>
      <c r="AO136" s="10">
        <v>2009</v>
      </c>
      <c r="AP136" s="10">
        <v>3</v>
      </c>
      <c r="AQ136" s="10">
        <v>265.49057302170303</v>
      </c>
      <c r="AS136" s="10">
        <v>2009</v>
      </c>
      <c r="AT136" s="10">
        <v>3</v>
      </c>
      <c r="AU136" s="10">
        <v>265.70934633450503</v>
      </c>
      <c r="AW136" s="10">
        <v>2009</v>
      </c>
      <c r="AX136" s="10">
        <v>3</v>
      </c>
      <c r="AY136" s="10">
        <v>265.72042123368402</v>
      </c>
    </row>
    <row r="137" spans="1:51" x14ac:dyDescent="0.25">
      <c r="A137" s="8">
        <v>2009</v>
      </c>
      <c r="B137" s="8">
        <v>4</v>
      </c>
      <c r="C137" s="10">
        <v>294.616357051009</v>
      </c>
      <c r="E137" s="10">
        <v>2009</v>
      </c>
      <c r="F137" s="10">
        <v>4</v>
      </c>
      <c r="G137" s="10">
        <v>294.18684123951198</v>
      </c>
      <c r="I137" s="10">
        <v>2009</v>
      </c>
      <c r="J137" s="10">
        <v>4</v>
      </c>
      <c r="K137" s="10">
        <v>294.19691240821402</v>
      </c>
      <c r="M137" s="10">
        <v>2009</v>
      </c>
      <c r="N137" s="10">
        <v>4</v>
      </c>
      <c r="O137" s="10">
        <v>294.16545259323601</v>
      </c>
      <c r="Q137" s="10">
        <v>2009</v>
      </c>
      <c r="R137" s="10">
        <v>4</v>
      </c>
      <c r="S137" s="10">
        <v>294.08143098243499</v>
      </c>
      <c r="U137" s="10">
        <v>2009</v>
      </c>
      <c r="V137" s="10">
        <v>4</v>
      </c>
      <c r="W137" s="10">
        <v>293.96293967218702</v>
      </c>
      <c r="Y137" s="17">
        <v>2014</v>
      </c>
      <c r="Z137" s="17">
        <v>4</v>
      </c>
      <c r="AA137" s="17">
        <v>80309.1577383408</v>
      </c>
      <c r="AC137" s="10">
        <v>2009</v>
      </c>
      <c r="AD137" s="10">
        <v>4</v>
      </c>
      <c r="AE137" s="10">
        <v>293.97946792111298</v>
      </c>
      <c r="AG137" s="10">
        <v>2009</v>
      </c>
      <c r="AH137" s="10">
        <v>4</v>
      </c>
      <c r="AI137" s="10">
        <v>293.96436515291902</v>
      </c>
      <c r="AK137" s="10">
        <v>2009</v>
      </c>
      <c r="AL137" s="10">
        <v>4</v>
      </c>
      <c r="AM137" s="10">
        <v>293.98706953178299</v>
      </c>
      <c r="AO137" s="10">
        <v>2009</v>
      </c>
      <c r="AP137" s="10">
        <v>4</v>
      </c>
      <c r="AQ137" s="10">
        <v>293.971596138461</v>
      </c>
      <c r="AS137" s="10">
        <v>2009</v>
      </c>
      <c r="AT137" s="10">
        <v>4</v>
      </c>
      <c r="AU137" s="10">
        <v>294.15165355239799</v>
      </c>
      <c r="AW137" s="10">
        <v>2009</v>
      </c>
      <c r="AX137" s="10">
        <v>4</v>
      </c>
      <c r="AY137" s="10">
        <v>294.146661351219</v>
      </c>
    </row>
    <row r="138" spans="1:51" x14ac:dyDescent="0.25">
      <c r="A138" s="8">
        <v>2009</v>
      </c>
      <c r="B138" s="8">
        <v>5</v>
      </c>
      <c r="C138" s="10">
        <v>273.274027781928</v>
      </c>
      <c r="E138" s="10">
        <v>2009</v>
      </c>
      <c r="F138" s="10">
        <v>5</v>
      </c>
      <c r="G138" s="10">
        <v>272.93276960465198</v>
      </c>
      <c r="I138" s="10">
        <v>2009</v>
      </c>
      <c r="J138" s="10">
        <v>5</v>
      </c>
      <c r="K138" s="10">
        <v>272.92640120367901</v>
      </c>
      <c r="M138" s="10">
        <v>2009</v>
      </c>
      <c r="N138" s="10">
        <v>5</v>
      </c>
      <c r="O138" s="10">
        <v>272.982447515334</v>
      </c>
      <c r="Q138" s="10">
        <v>2009</v>
      </c>
      <c r="R138" s="10">
        <v>5</v>
      </c>
      <c r="S138" s="10">
        <v>273.02653530732198</v>
      </c>
      <c r="U138" s="10">
        <v>2009</v>
      </c>
      <c r="V138" s="10">
        <v>5</v>
      </c>
      <c r="W138" s="10">
        <v>273.15531708334402</v>
      </c>
      <c r="Y138" s="17">
        <v>2014</v>
      </c>
      <c r="Z138" s="17">
        <v>5</v>
      </c>
      <c r="AA138" s="17">
        <v>79448.944351912796</v>
      </c>
      <c r="AC138" s="10">
        <v>2009</v>
      </c>
      <c r="AD138" s="10">
        <v>5</v>
      </c>
      <c r="AE138" s="10">
        <v>273.120110042053</v>
      </c>
      <c r="AG138" s="10">
        <v>2009</v>
      </c>
      <c r="AH138" s="10">
        <v>5</v>
      </c>
      <c r="AI138" s="10">
        <v>273.19368815142599</v>
      </c>
      <c r="AK138" s="10">
        <v>2009</v>
      </c>
      <c r="AL138" s="10">
        <v>5</v>
      </c>
      <c r="AM138" s="10">
        <v>273.14459876279398</v>
      </c>
      <c r="AO138" s="10">
        <v>2009</v>
      </c>
      <c r="AP138" s="10">
        <v>5</v>
      </c>
      <c r="AQ138" s="10">
        <v>273.13869040389699</v>
      </c>
      <c r="AS138" s="10">
        <v>2009</v>
      </c>
      <c r="AT138" s="10">
        <v>5</v>
      </c>
      <c r="AU138" s="10">
        <v>273.05750642539402</v>
      </c>
      <c r="AW138" s="10">
        <v>2009</v>
      </c>
      <c r="AX138" s="10">
        <v>5</v>
      </c>
      <c r="AY138" s="10">
        <v>273.061491157734</v>
      </c>
    </row>
    <row r="139" spans="1:51" x14ac:dyDescent="0.25">
      <c r="A139" s="8">
        <v>2009</v>
      </c>
      <c r="B139" s="8">
        <v>6</v>
      </c>
      <c r="C139" s="10">
        <v>299.82572003099</v>
      </c>
      <c r="E139" s="10">
        <v>2009</v>
      </c>
      <c r="F139" s="10">
        <v>6</v>
      </c>
      <c r="G139" s="10">
        <v>300.89131665122</v>
      </c>
      <c r="I139" s="10">
        <v>2009</v>
      </c>
      <c r="J139" s="10">
        <v>6</v>
      </c>
      <c r="K139" s="10">
        <v>300.90291265425998</v>
      </c>
      <c r="M139" s="10">
        <v>2009</v>
      </c>
      <c r="N139" s="10">
        <v>6</v>
      </c>
      <c r="O139" s="10">
        <v>300.89138239631802</v>
      </c>
      <c r="Q139" s="10">
        <v>2009</v>
      </c>
      <c r="R139" s="10">
        <v>6</v>
      </c>
      <c r="S139" s="10">
        <v>300.87113387089403</v>
      </c>
      <c r="U139" s="10">
        <v>2009</v>
      </c>
      <c r="V139" s="10">
        <v>6</v>
      </c>
      <c r="W139" s="10">
        <v>300.88013363315099</v>
      </c>
      <c r="Y139" s="17">
        <v>2014</v>
      </c>
      <c r="Z139" s="17">
        <v>6</v>
      </c>
      <c r="AA139" s="17">
        <v>78518.347935129495</v>
      </c>
      <c r="AC139" s="10">
        <v>2009</v>
      </c>
      <c r="AD139" s="10">
        <v>6</v>
      </c>
      <c r="AE139" s="10">
        <v>300.86725357736901</v>
      </c>
      <c r="AG139" s="10">
        <v>2009</v>
      </c>
      <c r="AH139" s="10">
        <v>6</v>
      </c>
      <c r="AI139" s="10">
        <v>300.90007100704298</v>
      </c>
      <c r="AK139" s="10">
        <v>2009</v>
      </c>
      <c r="AL139" s="10">
        <v>6</v>
      </c>
      <c r="AM139" s="10">
        <v>300.90540600114002</v>
      </c>
      <c r="AO139" s="10">
        <v>2009</v>
      </c>
      <c r="AP139" s="10">
        <v>6</v>
      </c>
      <c r="AQ139" s="10">
        <v>300.84359504008302</v>
      </c>
      <c r="AS139" s="10">
        <v>2009</v>
      </c>
      <c r="AT139" s="10">
        <v>6</v>
      </c>
      <c r="AU139" s="10">
        <v>300.44468449196</v>
      </c>
      <c r="AW139" s="10">
        <v>2009</v>
      </c>
      <c r="AX139" s="10">
        <v>6</v>
      </c>
      <c r="AY139" s="10">
        <v>300.44396581464298</v>
      </c>
    </row>
    <row r="140" spans="1:51" x14ac:dyDescent="0.25">
      <c r="A140" s="8">
        <v>2009</v>
      </c>
      <c r="B140" s="8">
        <v>7</v>
      </c>
      <c r="C140" s="10">
        <v>291.59506620630998</v>
      </c>
      <c r="E140" s="10">
        <v>2009</v>
      </c>
      <c r="F140" s="10">
        <v>7</v>
      </c>
      <c r="G140" s="10">
        <v>290.75807511707802</v>
      </c>
      <c r="I140" s="10">
        <v>2009</v>
      </c>
      <c r="J140" s="10">
        <v>7</v>
      </c>
      <c r="K140" s="10">
        <v>290.75418491167898</v>
      </c>
      <c r="M140" s="10">
        <v>2009</v>
      </c>
      <c r="N140" s="10">
        <v>7</v>
      </c>
      <c r="O140" s="10">
        <v>290.71315993510899</v>
      </c>
      <c r="Q140" s="10">
        <v>2009</v>
      </c>
      <c r="R140" s="10">
        <v>7</v>
      </c>
      <c r="S140" s="10">
        <v>290.65565287681699</v>
      </c>
      <c r="U140" s="10">
        <v>2009</v>
      </c>
      <c r="V140" s="10">
        <v>7</v>
      </c>
      <c r="W140" s="10">
        <v>290.56205315502598</v>
      </c>
      <c r="Y140" s="17">
        <v>2014</v>
      </c>
      <c r="Z140" s="17">
        <v>7</v>
      </c>
      <c r="AA140" s="17">
        <v>77335.361474388206</v>
      </c>
      <c r="AC140" s="10">
        <v>2009</v>
      </c>
      <c r="AD140" s="10">
        <v>7</v>
      </c>
      <c r="AE140" s="10">
        <v>290.56770089630999</v>
      </c>
      <c r="AG140" s="10">
        <v>2009</v>
      </c>
      <c r="AH140" s="10">
        <v>7</v>
      </c>
      <c r="AI140" s="10">
        <v>290.50853824379197</v>
      </c>
      <c r="AK140" s="10">
        <v>2009</v>
      </c>
      <c r="AL140" s="10">
        <v>7</v>
      </c>
      <c r="AM140" s="10">
        <v>290.54483258776099</v>
      </c>
      <c r="AO140" s="10">
        <v>2009</v>
      </c>
      <c r="AP140" s="10">
        <v>7</v>
      </c>
      <c r="AQ140" s="10">
        <v>290.50369735918201</v>
      </c>
      <c r="AS140" s="10">
        <v>2009</v>
      </c>
      <c r="AT140" s="10">
        <v>7</v>
      </c>
      <c r="AU140" s="10">
        <v>290.61424888641102</v>
      </c>
      <c r="AW140" s="10">
        <v>2009</v>
      </c>
      <c r="AX140" s="10">
        <v>7</v>
      </c>
      <c r="AY140" s="10">
        <v>290.61040375316298</v>
      </c>
    </row>
    <row r="141" spans="1:51" x14ac:dyDescent="0.25">
      <c r="A141" s="8">
        <v>2009</v>
      </c>
      <c r="B141" s="8">
        <v>8</v>
      </c>
      <c r="C141" s="10">
        <v>289.41762821848101</v>
      </c>
      <c r="E141" s="10">
        <v>2009</v>
      </c>
      <c r="F141" s="10">
        <v>8</v>
      </c>
      <c r="G141" s="10">
        <v>289.21694033915202</v>
      </c>
      <c r="I141" s="10">
        <v>2009</v>
      </c>
      <c r="J141" s="10">
        <v>8</v>
      </c>
      <c r="K141" s="10">
        <v>289.20105339607602</v>
      </c>
      <c r="M141" s="10">
        <v>2009</v>
      </c>
      <c r="N141" s="10">
        <v>8</v>
      </c>
      <c r="O141" s="10">
        <v>289.20726060801002</v>
      </c>
      <c r="Q141" s="10">
        <v>2009</v>
      </c>
      <c r="R141" s="10">
        <v>8</v>
      </c>
      <c r="S141" s="10">
        <v>289.20676480773199</v>
      </c>
      <c r="U141" s="10">
        <v>2009</v>
      </c>
      <c r="V141" s="10">
        <v>8</v>
      </c>
      <c r="W141" s="10">
        <v>289.16239934893599</v>
      </c>
      <c r="Y141" s="17">
        <v>2014</v>
      </c>
      <c r="Z141" s="17">
        <v>8</v>
      </c>
      <c r="AA141" s="17">
        <v>76746.7901708422</v>
      </c>
      <c r="AC141" s="10">
        <v>2009</v>
      </c>
      <c r="AD141" s="10">
        <v>8</v>
      </c>
      <c r="AE141" s="10">
        <v>289.16541148951598</v>
      </c>
      <c r="AG141" s="10">
        <v>2009</v>
      </c>
      <c r="AH141" s="10">
        <v>8</v>
      </c>
      <c r="AI141" s="10">
        <v>289.13349050180398</v>
      </c>
      <c r="AK141" s="10">
        <v>2009</v>
      </c>
      <c r="AL141" s="10">
        <v>8</v>
      </c>
      <c r="AM141" s="10">
        <v>289.13678995603499</v>
      </c>
      <c r="AO141" s="10">
        <v>2009</v>
      </c>
      <c r="AP141" s="10">
        <v>8</v>
      </c>
      <c r="AQ141" s="10">
        <v>289.05617833324499</v>
      </c>
      <c r="AS141" s="10">
        <v>2009</v>
      </c>
      <c r="AT141" s="10">
        <v>8</v>
      </c>
      <c r="AU141" s="10">
        <v>288.72507120978202</v>
      </c>
      <c r="AW141" s="10">
        <v>2009</v>
      </c>
      <c r="AX141" s="10">
        <v>8</v>
      </c>
      <c r="AY141" s="10">
        <v>288.72134648635603</v>
      </c>
    </row>
    <row r="142" spans="1:51" x14ac:dyDescent="0.25">
      <c r="A142" s="8">
        <v>2009</v>
      </c>
      <c r="B142" s="8">
        <v>9</v>
      </c>
      <c r="C142" s="10">
        <v>266.19026065268002</v>
      </c>
      <c r="E142" s="10">
        <v>2009</v>
      </c>
      <c r="F142" s="10">
        <v>9</v>
      </c>
      <c r="G142" s="10">
        <v>266.11767995960599</v>
      </c>
      <c r="I142" s="10">
        <v>2009</v>
      </c>
      <c r="J142" s="10">
        <v>9</v>
      </c>
      <c r="K142" s="10">
        <v>266.11717245286502</v>
      </c>
      <c r="M142" s="10">
        <v>2009</v>
      </c>
      <c r="N142" s="10">
        <v>9</v>
      </c>
      <c r="O142" s="10">
        <v>266.10677909123899</v>
      </c>
      <c r="Q142" s="10">
        <v>2009</v>
      </c>
      <c r="R142" s="10">
        <v>9</v>
      </c>
      <c r="S142" s="10">
        <v>266.08127572152199</v>
      </c>
      <c r="U142" s="10">
        <v>2009</v>
      </c>
      <c r="V142" s="10">
        <v>9</v>
      </c>
      <c r="W142" s="10">
        <v>266.04705653083698</v>
      </c>
      <c r="Y142" s="17">
        <v>2014</v>
      </c>
      <c r="Z142" s="17">
        <v>9</v>
      </c>
      <c r="AA142" s="17">
        <v>75443.107596809699</v>
      </c>
      <c r="AC142" s="10">
        <v>2009</v>
      </c>
      <c r="AD142" s="10">
        <v>9</v>
      </c>
      <c r="AE142" s="10">
        <v>266.05170632604103</v>
      </c>
      <c r="AG142" s="10">
        <v>2009</v>
      </c>
      <c r="AH142" s="10">
        <v>9</v>
      </c>
      <c r="AI142" s="10">
        <v>266.03462704674098</v>
      </c>
      <c r="AK142" s="10">
        <v>2009</v>
      </c>
      <c r="AL142" s="10">
        <v>9</v>
      </c>
      <c r="AM142" s="10">
        <v>266.04339564149501</v>
      </c>
      <c r="AO142" s="10">
        <v>2009</v>
      </c>
      <c r="AP142" s="10">
        <v>9</v>
      </c>
      <c r="AQ142" s="10">
        <v>266.15191170466198</v>
      </c>
      <c r="AS142" s="10">
        <v>2009</v>
      </c>
      <c r="AT142" s="10">
        <v>9</v>
      </c>
      <c r="AU142" s="10">
        <v>266.45876699581498</v>
      </c>
      <c r="AW142" s="10">
        <v>2009</v>
      </c>
      <c r="AX142" s="10">
        <v>9</v>
      </c>
      <c r="AY142" s="10">
        <v>266.46626293319599</v>
      </c>
    </row>
    <row r="143" spans="1:51" x14ac:dyDescent="0.25">
      <c r="A143" s="8">
        <v>2009</v>
      </c>
      <c r="B143" s="8">
        <v>10</v>
      </c>
      <c r="C143" s="10">
        <v>294.77126868229101</v>
      </c>
      <c r="E143" s="10">
        <v>2009</v>
      </c>
      <c r="F143" s="10">
        <v>10</v>
      </c>
      <c r="G143" s="10">
        <v>294.19002301616098</v>
      </c>
      <c r="I143" s="10">
        <v>2009</v>
      </c>
      <c r="J143" s="10">
        <v>10</v>
      </c>
      <c r="K143" s="10">
        <v>294.18859911146501</v>
      </c>
      <c r="M143" s="10">
        <v>2009</v>
      </c>
      <c r="N143" s="10">
        <v>10</v>
      </c>
      <c r="O143" s="10">
        <v>294.19243874782597</v>
      </c>
      <c r="Q143" s="10">
        <v>2009</v>
      </c>
      <c r="R143" s="10">
        <v>10</v>
      </c>
      <c r="S143" s="10">
        <v>294.19123755137599</v>
      </c>
      <c r="U143" s="10">
        <v>2009</v>
      </c>
      <c r="V143" s="10">
        <v>10</v>
      </c>
      <c r="W143" s="10">
        <v>294.180373377134</v>
      </c>
      <c r="Y143" s="17">
        <v>2014</v>
      </c>
      <c r="Z143" s="17">
        <v>10</v>
      </c>
      <c r="AA143" s="17">
        <v>75351.380824285399</v>
      </c>
      <c r="AC143" s="10">
        <v>2009</v>
      </c>
      <c r="AD143" s="10">
        <v>10</v>
      </c>
      <c r="AE143" s="10">
        <v>294.18315608673998</v>
      </c>
      <c r="AG143" s="10">
        <v>2009</v>
      </c>
      <c r="AH143" s="10">
        <v>10</v>
      </c>
      <c r="AI143" s="10">
        <v>294.18166569845903</v>
      </c>
      <c r="AK143" s="10">
        <v>2009</v>
      </c>
      <c r="AL143" s="10">
        <v>10</v>
      </c>
      <c r="AM143" s="10">
        <v>294.17845312408099</v>
      </c>
      <c r="AO143" s="10">
        <v>2009</v>
      </c>
      <c r="AP143" s="10">
        <v>10</v>
      </c>
      <c r="AQ143" s="10">
        <v>294.279754117111</v>
      </c>
      <c r="AS143" s="10">
        <v>2009</v>
      </c>
      <c r="AT143" s="10">
        <v>10</v>
      </c>
      <c r="AU143" s="10">
        <v>294.104185449277</v>
      </c>
      <c r="AW143" s="10">
        <v>2009</v>
      </c>
      <c r="AX143" s="10">
        <v>10</v>
      </c>
      <c r="AY143" s="10">
        <v>294.10158551414099</v>
      </c>
    </row>
    <row r="144" spans="1:51" x14ac:dyDescent="0.25">
      <c r="A144" s="8">
        <v>2009</v>
      </c>
      <c r="B144" s="8">
        <v>11</v>
      </c>
      <c r="C144" s="10">
        <v>280.06945432868002</v>
      </c>
      <c r="E144" s="10">
        <v>2009</v>
      </c>
      <c r="F144" s="10">
        <v>11</v>
      </c>
      <c r="G144" s="10">
        <v>280.12099181451401</v>
      </c>
      <c r="I144" s="10">
        <v>2009</v>
      </c>
      <c r="J144" s="10">
        <v>11</v>
      </c>
      <c r="K144" s="10">
        <v>280.11879540046499</v>
      </c>
      <c r="M144" s="10">
        <v>2009</v>
      </c>
      <c r="N144" s="10">
        <v>11</v>
      </c>
      <c r="O144" s="10">
        <v>280.13072047217202</v>
      </c>
      <c r="Q144" s="10">
        <v>2009</v>
      </c>
      <c r="R144" s="10">
        <v>11</v>
      </c>
      <c r="S144" s="10">
        <v>280.12653719149102</v>
      </c>
      <c r="U144" s="10">
        <v>2009</v>
      </c>
      <c r="V144" s="10">
        <v>11</v>
      </c>
      <c r="W144" s="10">
        <v>280.13035796044801</v>
      </c>
      <c r="Y144" s="17">
        <v>2014</v>
      </c>
      <c r="Z144" s="17">
        <v>11</v>
      </c>
      <c r="AA144" s="17">
        <v>74605.319331277002</v>
      </c>
      <c r="AC144" s="10">
        <v>2009</v>
      </c>
      <c r="AD144" s="10">
        <v>11</v>
      </c>
      <c r="AE144" s="10">
        <v>280.13183415503602</v>
      </c>
      <c r="AG144" s="10">
        <v>2009</v>
      </c>
      <c r="AH144" s="10">
        <v>11</v>
      </c>
      <c r="AI144" s="10">
        <v>280.138614100712</v>
      </c>
      <c r="AK144" s="10">
        <v>2009</v>
      </c>
      <c r="AL144" s="10">
        <v>11</v>
      </c>
      <c r="AM144" s="10">
        <v>280.12871822120098</v>
      </c>
      <c r="AO144" s="10">
        <v>2009</v>
      </c>
      <c r="AP144" s="10">
        <v>11</v>
      </c>
      <c r="AQ144" s="10">
        <v>280.16495796148598</v>
      </c>
      <c r="AS144" s="10">
        <v>2009</v>
      </c>
      <c r="AT144" s="10">
        <v>11</v>
      </c>
      <c r="AU144" s="10">
        <v>280.09329845095698</v>
      </c>
      <c r="AW144" s="10">
        <v>2009</v>
      </c>
      <c r="AX144" s="10">
        <v>11</v>
      </c>
      <c r="AY144" s="10">
        <v>280.09635012500502</v>
      </c>
    </row>
    <row r="145" spans="1:51" x14ac:dyDescent="0.25">
      <c r="A145" s="8">
        <v>2009</v>
      </c>
      <c r="B145" s="8">
        <v>12</v>
      </c>
      <c r="C145" s="10">
        <v>265.21389469297702</v>
      </c>
      <c r="E145" s="10">
        <v>2009</v>
      </c>
      <c r="F145" s="10">
        <v>12</v>
      </c>
      <c r="G145" s="10">
        <v>265.19900870307401</v>
      </c>
      <c r="I145" s="10">
        <v>2009</v>
      </c>
      <c r="J145" s="10">
        <v>12</v>
      </c>
      <c r="K145" s="10">
        <v>265.20297709198297</v>
      </c>
      <c r="M145" s="10">
        <v>2009</v>
      </c>
      <c r="N145" s="10">
        <v>12</v>
      </c>
      <c r="O145" s="10">
        <v>265.18615062849898</v>
      </c>
      <c r="Q145" s="10">
        <v>2009</v>
      </c>
      <c r="R145" s="10">
        <v>12</v>
      </c>
      <c r="S145" s="10">
        <v>265.16357267334598</v>
      </c>
      <c r="U145" s="10">
        <v>2009</v>
      </c>
      <c r="V145" s="10">
        <v>12</v>
      </c>
      <c r="W145" s="10">
        <v>265.13143425882703</v>
      </c>
      <c r="Y145" s="17">
        <v>2014</v>
      </c>
      <c r="Z145" s="17">
        <v>12</v>
      </c>
      <c r="AA145" s="17">
        <v>74336.8049317931</v>
      </c>
      <c r="AC145" s="10">
        <v>2009</v>
      </c>
      <c r="AD145" s="10">
        <v>12</v>
      </c>
      <c r="AE145" s="10">
        <v>265.13527530138799</v>
      </c>
      <c r="AG145" s="10">
        <v>2009</v>
      </c>
      <c r="AH145" s="10">
        <v>12</v>
      </c>
      <c r="AI145" s="10">
        <v>265.12072614513397</v>
      </c>
      <c r="AK145" s="10">
        <v>2009</v>
      </c>
      <c r="AL145" s="10">
        <v>12</v>
      </c>
      <c r="AM145" s="10">
        <v>265.13397079535201</v>
      </c>
      <c r="AO145" s="10">
        <v>2009</v>
      </c>
      <c r="AP145" s="10">
        <v>12</v>
      </c>
      <c r="AQ145" s="10">
        <v>265.10686336223699</v>
      </c>
      <c r="AS145" s="10">
        <v>2009</v>
      </c>
      <c r="AT145" s="10">
        <v>12</v>
      </c>
      <c r="AU145" s="10">
        <v>265.17878421646901</v>
      </c>
      <c r="AW145" s="10">
        <v>2009</v>
      </c>
      <c r="AX145" s="10">
        <v>12</v>
      </c>
      <c r="AY145" s="10">
        <v>265.17355922694799</v>
      </c>
    </row>
    <row r="146" spans="1:51" x14ac:dyDescent="0.25">
      <c r="A146" s="8">
        <v>2010</v>
      </c>
      <c r="B146" s="8">
        <v>1</v>
      </c>
      <c r="C146" s="10">
        <v>247.556191882169</v>
      </c>
      <c r="E146" s="10">
        <v>2010</v>
      </c>
      <c r="F146" s="10">
        <v>1</v>
      </c>
      <c r="G146" s="10">
        <v>248.32084989790201</v>
      </c>
      <c r="I146" s="10">
        <v>2010</v>
      </c>
      <c r="J146" s="10">
        <v>1</v>
      </c>
      <c r="K146" s="10">
        <v>248.31789759816701</v>
      </c>
      <c r="M146" s="10">
        <v>2010</v>
      </c>
      <c r="N146" s="10">
        <v>1</v>
      </c>
      <c r="O146" s="10">
        <v>248.349616186237</v>
      </c>
      <c r="Q146" s="10">
        <v>2010</v>
      </c>
      <c r="R146" s="10">
        <v>1</v>
      </c>
      <c r="S146" s="10">
        <v>248.36869878610199</v>
      </c>
      <c r="U146" s="10">
        <v>2010</v>
      </c>
      <c r="V146" s="10">
        <v>1</v>
      </c>
      <c r="W146" s="10">
        <v>248.40676749657499</v>
      </c>
      <c r="Y146" s="17">
        <v>2015</v>
      </c>
      <c r="Z146" s="17">
        <v>1</v>
      </c>
      <c r="AA146" s="17">
        <v>74795.087455359404</v>
      </c>
      <c r="AC146" s="10">
        <v>2010</v>
      </c>
      <c r="AD146" s="10">
        <v>1</v>
      </c>
      <c r="AE146" s="10">
        <v>248.40533923967899</v>
      </c>
      <c r="AG146" s="10">
        <v>2010</v>
      </c>
      <c r="AH146" s="10">
        <v>1</v>
      </c>
      <c r="AI146" s="10">
        <v>248.42969374552499</v>
      </c>
      <c r="AK146" s="10">
        <v>2010</v>
      </c>
      <c r="AL146" s="10">
        <v>1</v>
      </c>
      <c r="AM146" s="10">
        <v>248.402093288662</v>
      </c>
      <c r="AO146" s="10">
        <v>2010</v>
      </c>
      <c r="AP146" s="10">
        <v>1</v>
      </c>
      <c r="AQ146" s="10">
        <v>248.44460607091</v>
      </c>
      <c r="AS146" s="10">
        <v>2010</v>
      </c>
      <c r="AT146" s="10">
        <v>1</v>
      </c>
      <c r="AU146" s="10">
        <v>248.48717062111299</v>
      </c>
      <c r="AW146" s="10">
        <v>2010</v>
      </c>
      <c r="AX146" s="10">
        <v>1</v>
      </c>
      <c r="AY146" s="10">
        <v>248.486346835722</v>
      </c>
    </row>
    <row r="147" spans="1:51" x14ac:dyDescent="0.25">
      <c r="A147" s="8">
        <v>2010</v>
      </c>
      <c r="B147" s="8">
        <v>2</v>
      </c>
      <c r="C147" s="10">
        <v>229.99091159726899</v>
      </c>
      <c r="E147" s="10">
        <v>2010</v>
      </c>
      <c r="F147" s="10">
        <v>2</v>
      </c>
      <c r="G147" s="10">
        <v>230.164354322669</v>
      </c>
      <c r="I147" s="10">
        <v>2010</v>
      </c>
      <c r="J147" s="10">
        <v>2</v>
      </c>
      <c r="K147" s="10">
        <v>230.16525104759501</v>
      </c>
      <c r="M147" s="10">
        <v>2010</v>
      </c>
      <c r="N147" s="10">
        <v>2</v>
      </c>
      <c r="O147" s="10">
        <v>230.16484185816401</v>
      </c>
      <c r="Q147" s="10">
        <v>2010</v>
      </c>
      <c r="R147" s="10">
        <v>2</v>
      </c>
      <c r="S147" s="10">
        <v>230.128766516312</v>
      </c>
      <c r="U147" s="10">
        <v>2010</v>
      </c>
      <c r="V147" s="10">
        <v>2</v>
      </c>
      <c r="W147" s="10">
        <v>230.161484091218</v>
      </c>
      <c r="Y147" s="17">
        <v>2015</v>
      </c>
      <c r="Z147" s="17">
        <v>2</v>
      </c>
      <c r="AA147" s="17">
        <v>75465.818103895799</v>
      </c>
      <c r="AC147" s="10">
        <v>2010</v>
      </c>
      <c r="AD147" s="10">
        <v>2</v>
      </c>
      <c r="AE147" s="10">
        <v>230.16692015613799</v>
      </c>
      <c r="AG147" s="10">
        <v>2010</v>
      </c>
      <c r="AH147" s="10">
        <v>2</v>
      </c>
      <c r="AI147" s="10">
        <v>230.17146412693401</v>
      </c>
      <c r="AK147" s="10">
        <v>2010</v>
      </c>
      <c r="AL147" s="10">
        <v>2</v>
      </c>
      <c r="AM147" s="10">
        <v>230.171123577705</v>
      </c>
      <c r="AO147" s="10">
        <v>2010</v>
      </c>
      <c r="AP147" s="10">
        <v>2</v>
      </c>
      <c r="AQ147" s="10">
        <v>230.17976567435699</v>
      </c>
      <c r="AS147" s="10">
        <v>2010</v>
      </c>
      <c r="AT147" s="10">
        <v>2</v>
      </c>
      <c r="AU147" s="10">
        <v>230.49275687124</v>
      </c>
      <c r="AW147" s="10">
        <v>2010</v>
      </c>
      <c r="AX147" s="10">
        <v>2</v>
      </c>
      <c r="AY147" s="10">
        <v>230.528592907041</v>
      </c>
    </row>
    <row r="148" spans="1:51" x14ac:dyDescent="0.25">
      <c r="A148" s="8">
        <v>2010</v>
      </c>
      <c r="B148" s="8">
        <v>3</v>
      </c>
      <c r="C148" s="10">
        <v>225.32533523500601</v>
      </c>
      <c r="E148" s="10">
        <v>2010</v>
      </c>
      <c r="F148" s="10">
        <v>3</v>
      </c>
      <c r="G148" s="10">
        <v>225.294003246058</v>
      </c>
      <c r="I148" s="10">
        <v>2010</v>
      </c>
      <c r="J148" s="10">
        <v>3</v>
      </c>
      <c r="K148" s="10">
        <v>225.30158884286101</v>
      </c>
      <c r="M148" s="10">
        <v>2010</v>
      </c>
      <c r="N148" s="10">
        <v>3</v>
      </c>
      <c r="O148" s="10">
        <v>225.28810245179201</v>
      </c>
      <c r="Q148" s="10">
        <v>2010</v>
      </c>
      <c r="R148" s="10">
        <v>3</v>
      </c>
      <c r="S148" s="10">
        <v>225.434923280958</v>
      </c>
      <c r="U148" s="10">
        <v>2010</v>
      </c>
      <c r="V148" s="10">
        <v>3</v>
      </c>
      <c r="W148" s="10">
        <v>225.57432617163599</v>
      </c>
      <c r="Y148" s="17">
        <v>2015</v>
      </c>
      <c r="Z148" s="17">
        <v>3</v>
      </c>
      <c r="AA148" s="17">
        <v>76665.226942366397</v>
      </c>
      <c r="AC148" s="10">
        <v>2010</v>
      </c>
      <c r="AD148" s="10">
        <v>3</v>
      </c>
      <c r="AE148" s="10">
        <v>225.58005563172699</v>
      </c>
      <c r="AG148" s="10">
        <v>2010</v>
      </c>
      <c r="AH148" s="10">
        <v>3</v>
      </c>
      <c r="AI148" s="10">
        <v>225.575382668549</v>
      </c>
      <c r="AK148" s="10">
        <v>2010</v>
      </c>
      <c r="AL148" s="10">
        <v>3</v>
      </c>
      <c r="AM148" s="10">
        <v>225.58854061327901</v>
      </c>
      <c r="AO148" s="10">
        <v>2010</v>
      </c>
      <c r="AP148" s="10">
        <v>3</v>
      </c>
      <c r="AQ148" s="10">
        <v>225.50316158532701</v>
      </c>
      <c r="AS148" s="10">
        <v>2010</v>
      </c>
      <c r="AT148" s="10">
        <v>3</v>
      </c>
      <c r="AU148" s="10">
        <v>225.758891772054</v>
      </c>
      <c r="AW148" s="10">
        <v>2010</v>
      </c>
      <c r="AX148" s="10">
        <v>3</v>
      </c>
      <c r="AY148" s="10">
        <v>225.76460092351201</v>
      </c>
    </row>
    <row r="149" spans="1:51" x14ac:dyDescent="0.25">
      <c r="A149" s="8">
        <v>2010</v>
      </c>
      <c r="B149" s="8">
        <v>4</v>
      </c>
      <c r="C149" s="10">
        <v>219.187941510044</v>
      </c>
      <c r="E149" s="10">
        <v>2010</v>
      </c>
      <c r="F149" s="10">
        <v>4</v>
      </c>
      <c r="G149" s="10">
        <v>218.67708424664499</v>
      </c>
      <c r="I149" s="10">
        <v>2010</v>
      </c>
      <c r="J149" s="10">
        <v>4</v>
      </c>
      <c r="K149" s="10">
        <v>218.68349561105001</v>
      </c>
      <c r="M149" s="10">
        <v>2010</v>
      </c>
      <c r="N149" s="10">
        <v>4</v>
      </c>
      <c r="O149" s="10">
        <v>218.656205032439</v>
      </c>
      <c r="Q149" s="10">
        <v>2010</v>
      </c>
      <c r="R149" s="10">
        <v>4</v>
      </c>
      <c r="S149" s="10">
        <v>218.574985697149</v>
      </c>
      <c r="U149" s="10">
        <v>2010</v>
      </c>
      <c r="V149" s="10">
        <v>4</v>
      </c>
      <c r="W149" s="10">
        <v>218.458766905353</v>
      </c>
      <c r="Y149" s="17">
        <v>2015</v>
      </c>
      <c r="Z149" s="17">
        <v>4</v>
      </c>
      <c r="AA149" s="17">
        <v>77298.394733617606</v>
      </c>
      <c r="AC149" s="10">
        <v>2010</v>
      </c>
      <c r="AD149" s="10">
        <v>4</v>
      </c>
      <c r="AE149" s="10">
        <v>218.472179255361</v>
      </c>
      <c r="AG149" s="10">
        <v>2010</v>
      </c>
      <c r="AH149" s="10">
        <v>4</v>
      </c>
      <c r="AI149" s="10">
        <v>218.45719794021801</v>
      </c>
      <c r="AK149" s="10">
        <v>2010</v>
      </c>
      <c r="AL149" s="10">
        <v>4</v>
      </c>
      <c r="AM149" s="10">
        <v>218.476966291678</v>
      </c>
      <c r="AO149" s="10">
        <v>2010</v>
      </c>
      <c r="AP149" s="10">
        <v>4</v>
      </c>
      <c r="AQ149" s="10">
        <v>218.46670233339799</v>
      </c>
      <c r="AS149" s="10">
        <v>2010</v>
      </c>
      <c r="AT149" s="10">
        <v>4</v>
      </c>
      <c r="AU149" s="10">
        <v>218.59340057405501</v>
      </c>
      <c r="AW149" s="10">
        <v>2010</v>
      </c>
      <c r="AX149" s="10">
        <v>4</v>
      </c>
      <c r="AY149" s="10">
        <v>218.58979956196899</v>
      </c>
    </row>
    <row r="150" spans="1:51" x14ac:dyDescent="0.25">
      <c r="A150" s="8">
        <v>2010</v>
      </c>
      <c r="B150" s="8">
        <v>5</v>
      </c>
      <c r="C150" s="10">
        <v>219.61852145617499</v>
      </c>
      <c r="E150" s="10">
        <v>2010</v>
      </c>
      <c r="F150" s="10">
        <v>5</v>
      </c>
      <c r="G150" s="10">
        <v>219.910529288379</v>
      </c>
      <c r="I150" s="10">
        <v>2010</v>
      </c>
      <c r="J150" s="10">
        <v>5</v>
      </c>
      <c r="K150" s="10">
        <v>219.90187682384999</v>
      </c>
      <c r="M150" s="10">
        <v>2010</v>
      </c>
      <c r="N150" s="10">
        <v>5</v>
      </c>
      <c r="O150" s="10">
        <v>219.96764203487001</v>
      </c>
      <c r="Q150" s="10">
        <v>2010</v>
      </c>
      <c r="R150" s="10">
        <v>5</v>
      </c>
      <c r="S150" s="10">
        <v>220.02062802464499</v>
      </c>
      <c r="U150" s="10">
        <v>2010</v>
      </c>
      <c r="V150" s="10">
        <v>5</v>
      </c>
      <c r="W150" s="10">
        <v>220.15503594281299</v>
      </c>
      <c r="Y150" s="17">
        <v>2015</v>
      </c>
      <c r="Z150" s="17">
        <v>5</v>
      </c>
      <c r="AA150" s="17">
        <v>77468.242597563905</v>
      </c>
      <c r="AC150" s="10">
        <v>2010</v>
      </c>
      <c r="AD150" s="10">
        <v>5</v>
      </c>
      <c r="AE150" s="10">
        <v>220.12541359362999</v>
      </c>
      <c r="AG150" s="10">
        <v>2010</v>
      </c>
      <c r="AH150" s="10">
        <v>5</v>
      </c>
      <c r="AI150" s="10">
        <v>220.19522416834999</v>
      </c>
      <c r="AK150" s="10">
        <v>2010</v>
      </c>
      <c r="AL150" s="10">
        <v>5</v>
      </c>
      <c r="AM150" s="10">
        <v>220.13843977362399</v>
      </c>
      <c r="AO150" s="10">
        <v>2010</v>
      </c>
      <c r="AP150" s="10">
        <v>5</v>
      </c>
      <c r="AQ150" s="10">
        <v>220.14533732383501</v>
      </c>
      <c r="AS150" s="10">
        <v>2010</v>
      </c>
      <c r="AT150" s="10">
        <v>5</v>
      </c>
      <c r="AU150" s="10">
        <v>220.145382547293</v>
      </c>
      <c r="AW150" s="10">
        <v>2010</v>
      </c>
      <c r="AX150" s="10">
        <v>5</v>
      </c>
      <c r="AY150" s="10">
        <v>220.150341748713</v>
      </c>
    </row>
    <row r="151" spans="1:51" x14ac:dyDescent="0.25">
      <c r="A151" s="8">
        <v>2010</v>
      </c>
      <c r="B151" s="8">
        <v>6</v>
      </c>
      <c r="C151" s="10">
        <v>210.526536889162</v>
      </c>
      <c r="E151" s="10">
        <v>2010</v>
      </c>
      <c r="F151" s="10">
        <v>6</v>
      </c>
      <c r="G151" s="10">
        <v>211.16558241243399</v>
      </c>
      <c r="I151" s="10">
        <v>2010</v>
      </c>
      <c r="J151" s="10">
        <v>6</v>
      </c>
      <c r="K151" s="10">
        <v>211.176150218456</v>
      </c>
      <c r="M151" s="10">
        <v>2010</v>
      </c>
      <c r="N151" s="10">
        <v>6</v>
      </c>
      <c r="O151" s="10">
        <v>211.15974551186699</v>
      </c>
      <c r="Q151" s="10">
        <v>2010</v>
      </c>
      <c r="R151" s="10">
        <v>6</v>
      </c>
      <c r="S151" s="10">
        <v>211.13403516409099</v>
      </c>
      <c r="U151" s="10">
        <v>2010</v>
      </c>
      <c r="V151" s="10">
        <v>6</v>
      </c>
      <c r="W151" s="10">
        <v>211.13158748896501</v>
      </c>
      <c r="Y151" s="17">
        <v>2015</v>
      </c>
      <c r="Z151" s="17">
        <v>6</v>
      </c>
      <c r="AA151" s="17">
        <v>78152.561917871906</v>
      </c>
      <c r="AC151" s="10">
        <v>2010</v>
      </c>
      <c r="AD151" s="10">
        <v>6</v>
      </c>
      <c r="AE151" s="10">
        <v>211.122016461779</v>
      </c>
      <c r="AG151" s="10">
        <v>2010</v>
      </c>
      <c r="AH151" s="10">
        <v>6</v>
      </c>
      <c r="AI151" s="10">
        <v>211.139694904979</v>
      </c>
      <c r="AK151" s="10">
        <v>2010</v>
      </c>
      <c r="AL151" s="10">
        <v>6</v>
      </c>
      <c r="AM151" s="10">
        <v>211.14980960301</v>
      </c>
      <c r="AO151" s="10">
        <v>2010</v>
      </c>
      <c r="AP151" s="10">
        <v>6</v>
      </c>
      <c r="AQ151" s="10">
        <v>211.08689537444701</v>
      </c>
      <c r="AS151" s="10">
        <v>2010</v>
      </c>
      <c r="AT151" s="10">
        <v>6</v>
      </c>
      <c r="AU151" s="10">
        <v>210.72991663406501</v>
      </c>
      <c r="AW151" s="10">
        <v>2010</v>
      </c>
      <c r="AX151" s="10">
        <v>6</v>
      </c>
      <c r="AY151" s="10">
        <v>210.72857987535099</v>
      </c>
    </row>
    <row r="152" spans="1:51" x14ac:dyDescent="0.25">
      <c r="A152" s="8">
        <v>2010</v>
      </c>
      <c r="B152" s="8">
        <v>7</v>
      </c>
      <c r="C152" s="10">
        <v>215.418631839124</v>
      </c>
      <c r="E152" s="10">
        <v>2010</v>
      </c>
      <c r="F152" s="10">
        <v>7</v>
      </c>
      <c r="G152" s="10">
        <v>215.37625702261099</v>
      </c>
      <c r="I152" s="10">
        <v>2010</v>
      </c>
      <c r="J152" s="10">
        <v>7</v>
      </c>
      <c r="K152" s="10">
        <v>215.36814678474499</v>
      </c>
      <c r="M152" s="10">
        <v>2010</v>
      </c>
      <c r="N152" s="10">
        <v>7</v>
      </c>
      <c r="O152" s="10">
        <v>215.370505145164</v>
      </c>
      <c r="Q152" s="10">
        <v>2010</v>
      </c>
      <c r="R152" s="10">
        <v>7</v>
      </c>
      <c r="S152" s="10">
        <v>215.35652341931001</v>
      </c>
      <c r="U152" s="10">
        <v>2010</v>
      </c>
      <c r="V152" s="10">
        <v>7</v>
      </c>
      <c r="W152" s="10">
        <v>215.338610734589</v>
      </c>
      <c r="Y152" s="17">
        <v>2015</v>
      </c>
      <c r="Z152" s="17">
        <v>7</v>
      </c>
      <c r="AA152" s="17">
        <v>78928.672552562799</v>
      </c>
      <c r="AC152" s="10">
        <v>2010</v>
      </c>
      <c r="AD152" s="10">
        <v>7</v>
      </c>
      <c r="AE152" s="10">
        <v>215.33840069214</v>
      </c>
      <c r="AG152" s="10">
        <v>2010</v>
      </c>
      <c r="AH152" s="10">
        <v>7</v>
      </c>
      <c r="AI152" s="10">
        <v>215.31463072486201</v>
      </c>
      <c r="AK152" s="10">
        <v>2010</v>
      </c>
      <c r="AL152" s="10">
        <v>7</v>
      </c>
      <c r="AM152" s="10">
        <v>215.31443995222401</v>
      </c>
      <c r="AO152" s="10">
        <v>2010</v>
      </c>
      <c r="AP152" s="10">
        <v>7</v>
      </c>
      <c r="AQ152" s="10">
        <v>215.33233160548301</v>
      </c>
      <c r="AS152" s="10">
        <v>2010</v>
      </c>
      <c r="AT152" s="10">
        <v>7</v>
      </c>
      <c r="AU152" s="10">
        <v>215.40054784054601</v>
      </c>
      <c r="AW152" s="10">
        <v>2010</v>
      </c>
      <c r="AX152" s="10">
        <v>7</v>
      </c>
      <c r="AY152" s="10">
        <v>215.39949298147701</v>
      </c>
    </row>
    <row r="153" spans="1:51" x14ac:dyDescent="0.25">
      <c r="A153" s="8">
        <v>2010</v>
      </c>
      <c r="B153" s="8">
        <v>8</v>
      </c>
      <c r="C153" s="10">
        <v>228.59943742594899</v>
      </c>
      <c r="E153" s="10">
        <v>2010</v>
      </c>
      <c r="F153" s="10">
        <v>8</v>
      </c>
      <c r="G153" s="10">
        <v>228.00749264919801</v>
      </c>
      <c r="I153" s="10">
        <v>2010</v>
      </c>
      <c r="J153" s="10">
        <v>8</v>
      </c>
      <c r="K153" s="10">
        <v>228.00108855741499</v>
      </c>
      <c r="M153" s="10">
        <v>2010</v>
      </c>
      <c r="N153" s="10">
        <v>8</v>
      </c>
      <c r="O153" s="10">
        <v>227.96406227365</v>
      </c>
      <c r="Q153" s="10">
        <v>2010</v>
      </c>
      <c r="R153" s="10">
        <v>8</v>
      </c>
      <c r="S153" s="10">
        <v>227.93047818163299</v>
      </c>
      <c r="U153" s="10">
        <v>2010</v>
      </c>
      <c r="V153" s="10">
        <v>8</v>
      </c>
      <c r="W153" s="10">
        <v>227.826408810234</v>
      </c>
      <c r="Y153" s="17">
        <v>2015</v>
      </c>
      <c r="Z153" s="17">
        <v>8</v>
      </c>
      <c r="AA153" s="17">
        <v>79119.957581983093</v>
      </c>
      <c r="AC153" s="10">
        <v>2010</v>
      </c>
      <c r="AD153" s="10">
        <v>8</v>
      </c>
      <c r="AE153" s="10">
        <v>227.83433961797201</v>
      </c>
      <c r="AG153" s="10">
        <v>2010</v>
      </c>
      <c r="AH153" s="10">
        <v>8</v>
      </c>
      <c r="AI153" s="10">
        <v>227.78379246566601</v>
      </c>
      <c r="AK153" s="10">
        <v>2010</v>
      </c>
      <c r="AL153" s="10">
        <v>8</v>
      </c>
      <c r="AM153" s="10">
        <v>227.824307584678</v>
      </c>
      <c r="AO153" s="10">
        <v>2010</v>
      </c>
      <c r="AP153" s="10">
        <v>8</v>
      </c>
      <c r="AQ153" s="10">
        <v>227.69345560615901</v>
      </c>
      <c r="AS153" s="10">
        <v>2010</v>
      </c>
      <c r="AT153" s="10">
        <v>8</v>
      </c>
      <c r="AU153" s="10">
        <v>227.38326944534501</v>
      </c>
      <c r="AW153" s="10">
        <v>2010</v>
      </c>
      <c r="AX153" s="10">
        <v>8</v>
      </c>
      <c r="AY153" s="10">
        <v>227.37732790482499</v>
      </c>
    </row>
    <row r="154" spans="1:51" x14ac:dyDescent="0.25">
      <c r="A154" s="8">
        <v>2010</v>
      </c>
      <c r="B154" s="8">
        <v>9</v>
      </c>
      <c r="C154" s="10">
        <v>210.86314311935701</v>
      </c>
      <c r="E154" s="10">
        <v>2010</v>
      </c>
      <c r="F154" s="10">
        <v>9</v>
      </c>
      <c r="G154" s="10">
        <v>210.652475724559</v>
      </c>
      <c r="I154" s="10">
        <v>2010</v>
      </c>
      <c r="J154" s="10">
        <v>9</v>
      </c>
      <c r="K154" s="10">
        <v>210.65362404875</v>
      </c>
      <c r="M154" s="10">
        <v>2010</v>
      </c>
      <c r="N154" s="10">
        <v>9</v>
      </c>
      <c r="O154" s="10">
        <v>210.636636895479</v>
      </c>
      <c r="Q154" s="10">
        <v>2010</v>
      </c>
      <c r="R154" s="10">
        <v>9</v>
      </c>
      <c r="S154" s="10">
        <v>210.60576148716299</v>
      </c>
      <c r="U154" s="10">
        <v>2010</v>
      </c>
      <c r="V154" s="10">
        <v>9</v>
      </c>
      <c r="W154" s="10">
        <v>210.565222233811</v>
      </c>
      <c r="Y154" s="17">
        <v>2015</v>
      </c>
      <c r="Z154" s="17">
        <v>9</v>
      </c>
      <c r="AA154" s="17">
        <v>79402.629712166206</v>
      </c>
      <c r="AC154" s="10">
        <v>2010</v>
      </c>
      <c r="AD154" s="10">
        <v>9</v>
      </c>
      <c r="AE154" s="10">
        <v>210.570315550858</v>
      </c>
      <c r="AG154" s="10">
        <v>2010</v>
      </c>
      <c r="AH154" s="10">
        <v>9</v>
      </c>
      <c r="AI154" s="10">
        <v>210.54938630779299</v>
      </c>
      <c r="AK154" s="10">
        <v>2010</v>
      </c>
      <c r="AL154" s="10">
        <v>9</v>
      </c>
      <c r="AM154" s="10">
        <v>210.563522214008</v>
      </c>
      <c r="AO154" s="10">
        <v>2010</v>
      </c>
      <c r="AP154" s="10">
        <v>9</v>
      </c>
      <c r="AQ154" s="10">
        <v>210.64488282915701</v>
      </c>
      <c r="AS154" s="10">
        <v>2010</v>
      </c>
      <c r="AT154" s="10">
        <v>9</v>
      </c>
      <c r="AU154" s="10">
        <v>210.87030918509299</v>
      </c>
      <c r="AW154" s="10">
        <v>2010</v>
      </c>
      <c r="AX154" s="10">
        <v>9</v>
      </c>
      <c r="AY154" s="10">
        <v>210.87630111760001</v>
      </c>
    </row>
    <row r="155" spans="1:51" x14ac:dyDescent="0.25">
      <c r="A155" s="8">
        <v>2010</v>
      </c>
      <c r="B155" s="8">
        <v>10</v>
      </c>
      <c r="C155" s="10">
        <v>205.04706943425001</v>
      </c>
      <c r="E155" s="10">
        <v>2010</v>
      </c>
      <c r="F155" s="10">
        <v>10</v>
      </c>
      <c r="G155" s="10">
        <v>205.13399869729099</v>
      </c>
      <c r="I155" s="10">
        <v>2010</v>
      </c>
      <c r="J155" s="10">
        <v>10</v>
      </c>
      <c r="K155" s="10">
        <v>205.12635748190201</v>
      </c>
      <c r="M155" s="10">
        <v>2010</v>
      </c>
      <c r="N155" s="10">
        <v>10</v>
      </c>
      <c r="O155" s="10">
        <v>205.17285051695899</v>
      </c>
      <c r="Q155" s="10">
        <v>2010</v>
      </c>
      <c r="R155" s="10">
        <v>10</v>
      </c>
      <c r="S155" s="10">
        <v>205.21664046700201</v>
      </c>
      <c r="U155" s="10">
        <v>2010</v>
      </c>
      <c r="V155" s="10">
        <v>10</v>
      </c>
      <c r="W155" s="10">
        <v>205.276928119422</v>
      </c>
      <c r="Y155" s="17">
        <v>2015</v>
      </c>
      <c r="Z155" s="17">
        <v>10</v>
      </c>
      <c r="AA155" s="17">
        <v>80660.160783402607</v>
      </c>
      <c r="AC155" s="10">
        <v>2010</v>
      </c>
      <c r="AD155" s="10">
        <v>10</v>
      </c>
      <c r="AE155" s="10">
        <v>205.27343220562</v>
      </c>
      <c r="AG155" s="10">
        <v>2010</v>
      </c>
      <c r="AH155" s="10">
        <v>10</v>
      </c>
      <c r="AI155" s="10">
        <v>205.30457637867201</v>
      </c>
      <c r="AK155" s="10">
        <v>2010</v>
      </c>
      <c r="AL155" s="10">
        <v>10</v>
      </c>
      <c r="AM155" s="10">
        <v>205.265859587877</v>
      </c>
      <c r="AO155" s="10">
        <v>2010</v>
      </c>
      <c r="AP155" s="10">
        <v>10</v>
      </c>
      <c r="AQ155" s="10">
        <v>205.42418312744201</v>
      </c>
      <c r="AS155" s="10">
        <v>2010</v>
      </c>
      <c r="AT155" s="10">
        <v>10</v>
      </c>
      <c r="AU155" s="10">
        <v>205.21411892089199</v>
      </c>
      <c r="AW155" s="10">
        <v>2010</v>
      </c>
      <c r="AX155" s="10">
        <v>10</v>
      </c>
      <c r="AY155" s="10">
        <v>205.214094014143</v>
      </c>
    </row>
    <row r="156" spans="1:51" x14ac:dyDescent="0.25">
      <c r="A156" s="8">
        <v>2010</v>
      </c>
      <c r="B156" s="8">
        <v>11</v>
      </c>
      <c r="C156" s="10">
        <v>209.79386085662</v>
      </c>
      <c r="E156" s="10">
        <v>2010</v>
      </c>
      <c r="F156" s="10">
        <v>11</v>
      </c>
      <c r="G156" s="10">
        <v>209.33088204372501</v>
      </c>
      <c r="I156" s="10">
        <v>2010</v>
      </c>
      <c r="J156" s="10">
        <v>11</v>
      </c>
      <c r="K156" s="10">
        <v>209.33450696840501</v>
      </c>
      <c r="M156" s="10">
        <v>2010</v>
      </c>
      <c r="N156" s="10">
        <v>11</v>
      </c>
      <c r="O156" s="10">
        <v>209.311104829112</v>
      </c>
      <c r="Q156" s="10">
        <v>2010</v>
      </c>
      <c r="R156" s="10">
        <v>11</v>
      </c>
      <c r="S156" s="10">
        <v>209.277257012539</v>
      </c>
      <c r="U156" s="10">
        <v>2010</v>
      </c>
      <c r="V156" s="10">
        <v>11</v>
      </c>
      <c r="W156" s="10">
        <v>209.23024154518299</v>
      </c>
      <c r="Y156" s="17">
        <v>2015</v>
      </c>
      <c r="Z156" s="17">
        <v>11</v>
      </c>
      <c r="AA156" s="17">
        <v>81608.711240500401</v>
      </c>
      <c r="AC156" s="10">
        <v>2010</v>
      </c>
      <c r="AD156" s="10">
        <v>11</v>
      </c>
      <c r="AE156" s="10">
        <v>209.23589121834601</v>
      </c>
      <c r="AG156" s="10">
        <v>2010</v>
      </c>
      <c r="AH156" s="10">
        <v>11</v>
      </c>
      <c r="AI156" s="10">
        <v>209.21690877011</v>
      </c>
      <c r="AK156" s="10">
        <v>2010</v>
      </c>
      <c r="AL156" s="10">
        <v>11</v>
      </c>
      <c r="AM156" s="10">
        <v>209.235652960827</v>
      </c>
      <c r="AO156" s="10">
        <v>2010</v>
      </c>
      <c r="AP156" s="10">
        <v>11</v>
      </c>
      <c r="AQ156" s="10">
        <v>209.21650199224999</v>
      </c>
      <c r="AS156" s="10">
        <v>2010</v>
      </c>
      <c r="AT156" s="10">
        <v>11</v>
      </c>
      <c r="AU156" s="10">
        <v>209.24909040083199</v>
      </c>
      <c r="AW156" s="10">
        <v>2010</v>
      </c>
      <c r="AX156" s="10">
        <v>11</v>
      </c>
      <c r="AY156" s="10">
        <v>209.24834224862099</v>
      </c>
    </row>
    <row r="157" spans="1:51" x14ac:dyDescent="0.25">
      <c r="A157" s="8">
        <v>2010</v>
      </c>
      <c r="B157" s="8">
        <v>12</v>
      </c>
      <c r="C157" s="10">
        <v>205.04968661031799</v>
      </c>
      <c r="E157" s="10">
        <v>2010</v>
      </c>
      <c r="F157" s="10">
        <v>12</v>
      </c>
      <c r="G157" s="10">
        <v>204.57158812221101</v>
      </c>
      <c r="I157" s="10">
        <v>2010</v>
      </c>
      <c r="J157" s="10">
        <v>12</v>
      </c>
      <c r="K157" s="10">
        <v>204.577015001121</v>
      </c>
      <c r="M157" s="10">
        <v>2010</v>
      </c>
      <c r="N157" s="10">
        <v>12</v>
      </c>
      <c r="O157" s="10">
        <v>204.54887874693901</v>
      </c>
      <c r="Q157" s="10">
        <v>2010</v>
      </c>
      <c r="R157" s="10">
        <v>12</v>
      </c>
      <c r="S157" s="10">
        <v>204.51402907171899</v>
      </c>
      <c r="U157" s="10">
        <v>2010</v>
      </c>
      <c r="V157" s="10">
        <v>12</v>
      </c>
      <c r="W157" s="10">
        <v>204.46216207434</v>
      </c>
      <c r="Y157" s="17">
        <v>2015</v>
      </c>
      <c r="Z157" s="17">
        <v>12</v>
      </c>
      <c r="AA157" s="17">
        <v>81628.428293655103</v>
      </c>
      <c r="AC157" s="10">
        <v>2010</v>
      </c>
      <c r="AD157" s="10">
        <v>12</v>
      </c>
      <c r="AE157" s="10">
        <v>204.46795187359601</v>
      </c>
      <c r="AG157" s="10">
        <v>2010</v>
      </c>
      <c r="AH157" s="10">
        <v>12</v>
      </c>
      <c r="AI157" s="10">
        <v>204.44839646009001</v>
      </c>
      <c r="AK157" s="10">
        <v>2010</v>
      </c>
      <c r="AL157" s="10">
        <v>12</v>
      </c>
      <c r="AM157" s="10">
        <v>204.470323476641</v>
      </c>
      <c r="AO157" s="10">
        <v>2010</v>
      </c>
      <c r="AP157" s="10">
        <v>12</v>
      </c>
      <c r="AQ157" s="10">
        <v>204.43232579798601</v>
      </c>
      <c r="AS157" s="10">
        <v>2010</v>
      </c>
      <c r="AT157" s="10">
        <v>12</v>
      </c>
      <c r="AU157" s="10">
        <v>204.526575579179</v>
      </c>
      <c r="AW157" s="10">
        <v>2010</v>
      </c>
      <c r="AX157" s="10">
        <v>12</v>
      </c>
      <c r="AY157" s="10">
        <v>204.52323554166401</v>
      </c>
    </row>
    <row r="158" spans="1:51" x14ac:dyDescent="0.25">
      <c r="A158" s="8">
        <v>2011</v>
      </c>
      <c r="B158" s="8">
        <v>1</v>
      </c>
      <c r="C158" s="10">
        <v>210.086684188861</v>
      </c>
      <c r="E158" s="10">
        <v>2011</v>
      </c>
      <c r="F158" s="10">
        <v>1</v>
      </c>
      <c r="G158" s="10">
        <v>210.83143050014399</v>
      </c>
      <c r="I158" s="10">
        <v>2011</v>
      </c>
      <c r="J158" s="10">
        <v>1</v>
      </c>
      <c r="K158" s="10">
        <v>210.82734070269501</v>
      </c>
      <c r="M158" s="10">
        <v>2011</v>
      </c>
      <c r="N158" s="10">
        <v>1</v>
      </c>
      <c r="O158" s="10">
        <v>210.863940533929</v>
      </c>
      <c r="Q158" s="10">
        <v>2011</v>
      </c>
      <c r="R158" s="10">
        <v>1</v>
      </c>
      <c r="S158" s="10">
        <v>210.893916668304</v>
      </c>
      <c r="U158" s="10">
        <v>2011</v>
      </c>
      <c r="V158" s="10">
        <v>1</v>
      </c>
      <c r="W158" s="10">
        <v>210.94426030144899</v>
      </c>
      <c r="Y158" s="17">
        <v>2016</v>
      </c>
      <c r="Z158" s="17">
        <v>1</v>
      </c>
      <c r="AA158" s="17">
        <v>77925.905032484807</v>
      </c>
      <c r="AC158" s="10">
        <v>2011</v>
      </c>
      <c r="AD158" s="10">
        <v>1</v>
      </c>
      <c r="AE158" s="10">
        <v>210.94107337549499</v>
      </c>
      <c r="AG158" s="10">
        <v>2011</v>
      </c>
      <c r="AH158" s="10">
        <v>1</v>
      </c>
      <c r="AI158" s="10">
        <v>210.97161067995299</v>
      </c>
      <c r="AK158" s="10">
        <v>2011</v>
      </c>
      <c r="AL158" s="10">
        <v>1</v>
      </c>
      <c r="AM158" s="10">
        <v>210.939682144432</v>
      </c>
      <c r="AO158" s="10">
        <v>2011</v>
      </c>
      <c r="AP158" s="10">
        <v>1</v>
      </c>
      <c r="AQ158" s="10">
        <v>210.985369209601</v>
      </c>
      <c r="AS158" s="10">
        <v>2011</v>
      </c>
      <c r="AT158" s="10">
        <v>1</v>
      </c>
      <c r="AU158" s="10">
        <v>211.01323443326601</v>
      </c>
      <c r="AW158" s="10">
        <v>2011</v>
      </c>
      <c r="AX158" s="10">
        <v>1</v>
      </c>
      <c r="AY158" s="10">
        <v>211.01335379499</v>
      </c>
    </row>
    <row r="159" spans="1:51" x14ac:dyDescent="0.25">
      <c r="A159" s="8">
        <v>2011</v>
      </c>
      <c r="B159" s="8">
        <v>2</v>
      </c>
      <c r="C159" s="10">
        <v>216.665696717255</v>
      </c>
      <c r="E159" s="10">
        <v>2011</v>
      </c>
      <c r="F159" s="10">
        <v>2</v>
      </c>
      <c r="G159" s="10">
        <v>216.82184547159301</v>
      </c>
      <c r="I159" s="10">
        <v>2011</v>
      </c>
      <c r="J159" s="10">
        <v>2</v>
      </c>
      <c r="K159" s="10">
        <v>216.82082410283201</v>
      </c>
      <c r="M159" s="10">
        <v>2011</v>
      </c>
      <c r="N159" s="10">
        <v>2</v>
      </c>
      <c r="O159" s="10">
        <v>216.825807099511</v>
      </c>
      <c r="Q159" s="10">
        <v>2011</v>
      </c>
      <c r="R159" s="10">
        <v>2</v>
      </c>
      <c r="S159" s="10">
        <v>216.80216931970401</v>
      </c>
      <c r="U159" s="10">
        <v>2011</v>
      </c>
      <c r="V159" s="10">
        <v>2</v>
      </c>
      <c r="W159" s="10">
        <v>216.84756265674599</v>
      </c>
      <c r="Y159" s="17">
        <v>2016</v>
      </c>
      <c r="Z159" s="17">
        <v>2</v>
      </c>
      <c r="AA159" s="17">
        <v>75793.781499676799</v>
      </c>
      <c r="AC159" s="10">
        <v>2011</v>
      </c>
      <c r="AD159" s="10">
        <v>2</v>
      </c>
      <c r="AE159" s="10">
        <v>216.850754084291</v>
      </c>
      <c r="AG159" s="10">
        <v>2011</v>
      </c>
      <c r="AH159" s="10">
        <v>2</v>
      </c>
      <c r="AI159" s="10">
        <v>216.8613580773</v>
      </c>
      <c r="AK159" s="10">
        <v>2011</v>
      </c>
      <c r="AL159" s="10">
        <v>2</v>
      </c>
      <c r="AM159" s="10">
        <v>216.85660320090801</v>
      </c>
      <c r="AO159" s="10">
        <v>2011</v>
      </c>
      <c r="AP159" s="10">
        <v>2</v>
      </c>
      <c r="AQ159" s="10">
        <v>216.86471502011599</v>
      </c>
      <c r="AS159" s="10">
        <v>2011</v>
      </c>
      <c r="AT159" s="10">
        <v>2</v>
      </c>
      <c r="AU159" s="10">
        <v>217.15811118155901</v>
      </c>
      <c r="AW159" s="10">
        <v>2011</v>
      </c>
      <c r="AX159" s="10">
        <v>2</v>
      </c>
      <c r="AY159" s="10">
        <v>217.19520594894999</v>
      </c>
    </row>
    <row r="160" spans="1:51" x14ac:dyDescent="0.25">
      <c r="A160" s="8">
        <v>2011</v>
      </c>
      <c r="B160" s="8">
        <v>3</v>
      </c>
      <c r="C160" s="10">
        <v>211.119736045835</v>
      </c>
      <c r="E160" s="10">
        <v>2011</v>
      </c>
      <c r="F160" s="10">
        <v>3</v>
      </c>
      <c r="G160" s="10">
        <v>211.08254385647001</v>
      </c>
      <c r="I160" s="10">
        <v>2011</v>
      </c>
      <c r="J160" s="10">
        <v>3</v>
      </c>
      <c r="K160" s="10">
        <v>211.091611227377</v>
      </c>
      <c r="M160" s="10">
        <v>2011</v>
      </c>
      <c r="N160" s="10">
        <v>3</v>
      </c>
      <c r="O160" s="10">
        <v>211.07122124653799</v>
      </c>
      <c r="Q160" s="10">
        <v>2011</v>
      </c>
      <c r="R160" s="10">
        <v>3</v>
      </c>
      <c r="S160" s="10">
        <v>211.16736988796899</v>
      </c>
      <c r="U160" s="10">
        <v>2011</v>
      </c>
      <c r="V160" s="10">
        <v>3</v>
      </c>
      <c r="W160" s="10">
        <v>211.26429932608201</v>
      </c>
      <c r="Y160" s="17">
        <v>2016</v>
      </c>
      <c r="Z160" s="17">
        <v>3</v>
      </c>
      <c r="AA160" s="17">
        <v>74835.3442198548</v>
      </c>
      <c r="AC160" s="10">
        <v>2011</v>
      </c>
      <c r="AD160" s="10">
        <v>3</v>
      </c>
      <c r="AE160" s="10">
        <v>211.267718815531</v>
      </c>
      <c r="AG160" s="10">
        <v>2011</v>
      </c>
      <c r="AH160" s="10">
        <v>3</v>
      </c>
      <c r="AI160" s="10">
        <v>211.25876032808199</v>
      </c>
      <c r="AK160" s="10">
        <v>2011</v>
      </c>
      <c r="AL160" s="10">
        <v>3</v>
      </c>
      <c r="AM160" s="10">
        <v>211.276301920675</v>
      </c>
      <c r="AO160" s="10">
        <v>2011</v>
      </c>
      <c r="AP160" s="10">
        <v>3</v>
      </c>
      <c r="AQ160" s="10">
        <v>211.20007087230499</v>
      </c>
      <c r="AS160" s="10">
        <v>2011</v>
      </c>
      <c r="AT160" s="10">
        <v>3</v>
      </c>
      <c r="AU160" s="10">
        <v>211.39694591191099</v>
      </c>
      <c r="AW160" s="10">
        <v>2011</v>
      </c>
      <c r="AX160" s="10">
        <v>3</v>
      </c>
      <c r="AY160" s="10">
        <v>211.39903260517499</v>
      </c>
    </row>
    <row r="161" spans="1:51" x14ac:dyDescent="0.25">
      <c r="A161" s="8">
        <v>2011</v>
      </c>
      <c r="B161" s="8">
        <v>4</v>
      </c>
      <c r="C161" s="10">
        <v>207.55655320060899</v>
      </c>
      <c r="E161" s="10">
        <v>2011</v>
      </c>
      <c r="F161" s="10">
        <v>4</v>
      </c>
      <c r="G161" s="10">
        <v>207.74169585457801</v>
      </c>
      <c r="I161" s="10">
        <v>2011</v>
      </c>
      <c r="J161" s="10">
        <v>4</v>
      </c>
      <c r="K161" s="10">
        <v>207.737309748933</v>
      </c>
      <c r="M161" s="10">
        <v>2011</v>
      </c>
      <c r="N161" s="10">
        <v>4</v>
      </c>
      <c r="O161" s="10">
        <v>207.75930357517299</v>
      </c>
      <c r="Q161" s="10">
        <v>2011</v>
      </c>
      <c r="R161" s="10">
        <v>4</v>
      </c>
      <c r="S161" s="10">
        <v>207.73314169741499</v>
      </c>
      <c r="U161" s="10">
        <v>2011</v>
      </c>
      <c r="V161" s="10">
        <v>4</v>
      </c>
      <c r="W161" s="10">
        <v>207.69347073738601</v>
      </c>
      <c r="Y161" s="17">
        <v>2016</v>
      </c>
      <c r="Z161" s="17">
        <v>4</v>
      </c>
      <c r="AA161" s="17">
        <v>71470.860439771306</v>
      </c>
      <c r="AC161" s="10">
        <v>2011</v>
      </c>
      <c r="AD161" s="10">
        <v>4</v>
      </c>
      <c r="AE161" s="10">
        <v>207.69697585464499</v>
      </c>
      <c r="AG161" s="10">
        <v>2011</v>
      </c>
      <c r="AH161" s="10">
        <v>4</v>
      </c>
      <c r="AI161" s="10">
        <v>207.720240272186</v>
      </c>
      <c r="AK161" s="10">
        <v>2011</v>
      </c>
      <c r="AL161" s="10">
        <v>4</v>
      </c>
      <c r="AM161" s="10">
        <v>207.70007764697101</v>
      </c>
      <c r="AO161" s="10">
        <v>2011</v>
      </c>
      <c r="AP161" s="10">
        <v>4</v>
      </c>
      <c r="AQ161" s="10">
        <v>207.73882411182001</v>
      </c>
      <c r="AS161" s="10">
        <v>2011</v>
      </c>
      <c r="AT161" s="10">
        <v>4</v>
      </c>
      <c r="AU161" s="10">
        <v>207.789321853931</v>
      </c>
      <c r="AW161" s="10">
        <v>2011</v>
      </c>
      <c r="AX161" s="10">
        <v>4</v>
      </c>
      <c r="AY161" s="10">
        <v>207.789949354496</v>
      </c>
    </row>
    <row r="162" spans="1:51" x14ac:dyDescent="0.25">
      <c r="A162" s="8">
        <v>2011</v>
      </c>
      <c r="B162" s="8">
        <v>5</v>
      </c>
      <c r="C162" s="10">
        <v>208.71875307487801</v>
      </c>
      <c r="E162" s="10">
        <v>2011</v>
      </c>
      <c r="F162" s="10">
        <v>5</v>
      </c>
      <c r="G162" s="10">
        <v>208.688551836323</v>
      </c>
      <c r="I162" s="10">
        <v>2011</v>
      </c>
      <c r="J162" s="10">
        <v>5</v>
      </c>
      <c r="K162" s="10">
        <v>208.686466235995</v>
      </c>
      <c r="M162" s="10">
        <v>2011</v>
      </c>
      <c r="N162" s="10">
        <v>5</v>
      </c>
      <c r="O162" s="10">
        <v>208.70938599706</v>
      </c>
      <c r="Q162" s="10">
        <v>2011</v>
      </c>
      <c r="R162" s="10">
        <v>5</v>
      </c>
      <c r="S162" s="10">
        <v>208.723033114755</v>
      </c>
      <c r="U162" s="10">
        <v>2011</v>
      </c>
      <c r="V162" s="10">
        <v>5</v>
      </c>
      <c r="W162" s="10">
        <v>208.77562468233299</v>
      </c>
      <c r="Y162" s="17">
        <v>2016</v>
      </c>
      <c r="Z162" s="17">
        <v>5</v>
      </c>
      <c r="AA162" s="17">
        <v>69769.319936355096</v>
      </c>
      <c r="AC162" s="10">
        <v>2011</v>
      </c>
      <c r="AD162" s="10">
        <v>5</v>
      </c>
      <c r="AE162" s="10">
        <v>208.75967891144799</v>
      </c>
      <c r="AG162" s="10">
        <v>2011</v>
      </c>
      <c r="AH162" s="10">
        <v>5</v>
      </c>
      <c r="AI162" s="10">
        <v>208.794290722639</v>
      </c>
      <c r="AK162" s="10">
        <v>2011</v>
      </c>
      <c r="AL162" s="10">
        <v>5</v>
      </c>
      <c r="AM162" s="10">
        <v>208.77366721566099</v>
      </c>
      <c r="AO162" s="10">
        <v>2011</v>
      </c>
      <c r="AP162" s="10">
        <v>5</v>
      </c>
      <c r="AQ162" s="10">
        <v>208.74971209001399</v>
      </c>
      <c r="AS162" s="10">
        <v>2011</v>
      </c>
      <c r="AT162" s="10">
        <v>5</v>
      </c>
      <c r="AU162" s="10">
        <v>208.79418109519901</v>
      </c>
      <c r="AW162" s="10">
        <v>2011</v>
      </c>
      <c r="AX162" s="10">
        <v>5</v>
      </c>
      <c r="AY162" s="10">
        <v>208.79655828053299</v>
      </c>
    </row>
    <row r="163" spans="1:51" x14ac:dyDescent="0.25">
      <c r="A163" s="8">
        <v>2011</v>
      </c>
      <c r="B163" s="8">
        <v>6</v>
      </c>
      <c r="C163" s="10">
        <v>203.87824554531099</v>
      </c>
      <c r="E163" s="10">
        <v>2011</v>
      </c>
      <c r="F163" s="10">
        <v>6</v>
      </c>
      <c r="G163" s="10">
        <v>204.17801424024799</v>
      </c>
      <c r="I163" s="10">
        <v>2011</v>
      </c>
      <c r="J163" s="10">
        <v>6</v>
      </c>
      <c r="K163" s="10">
        <v>204.18607387722301</v>
      </c>
      <c r="M163" s="10">
        <v>2011</v>
      </c>
      <c r="N163" s="10">
        <v>6</v>
      </c>
      <c r="O163" s="10">
        <v>204.166962000979</v>
      </c>
      <c r="Q163" s="10">
        <v>2011</v>
      </c>
      <c r="R163" s="10">
        <v>6</v>
      </c>
      <c r="S163" s="10">
        <v>204.14318850139401</v>
      </c>
      <c r="U163" s="10">
        <v>2011</v>
      </c>
      <c r="V163" s="10">
        <v>6</v>
      </c>
      <c r="W163" s="10">
        <v>204.16255065487999</v>
      </c>
      <c r="Y163" s="17">
        <v>2016</v>
      </c>
      <c r="Z163" s="17">
        <v>6</v>
      </c>
      <c r="AA163" s="17">
        <v>68004.928719194693</v>
      </c>
      <c r="AC163" s="10">
        <v>2011</v>
      </c>
      <c r="AD163" s="10">
        <v>6</v>
      </c>
      <c r="AE163" s="10">
        <v>204.15769431587199</v>
      </c>
      <c r="AG163" s="10">
        <v>2011</v>
      </c>
      <c r="AH163" s="10">
        <v>6</v>
      </c>
      <c r="AI163" s="10">
        <v>204.12886340371099</v>
      </c>
      <c r="AK163" s="10">
        <v>2011</v>
      </c>
      <c r="AL163" s="10">
        <v>6</v>
      </c>
      <c r="AM163" s="10">
        <v>204.14178554473199</v>
      </c>
      <c r="AO163" s="10">
        <v>2011</v>
      </c>
      <c r="AP163" s="10">
        <v>6</v>
      </c>
      <c r="AQ163" s="10">
        <v>204.10004452397601</v>
      </c>
      <c r="AS163" s="10">
        <v>2011</v>
      </c>
      <c r="AT163" s="10">
        <v>6</v>
      </c>
      <c r="AU163" s="10">
        <v>203.88513269156201</v>
      </c>
      <c r="AW163" s="10">
        <v>2011</v>
      </c>
      <c r="AX163" s="10">
        <v>6</v>
      </c>
      <c r="AY163" s="10">
        <v>203.88354460149301</v>
      </c>
    </row>
    <row r="164" spans="1:51" x14ac:dyDescent="0.25">
      <c r="A164" s="8">
        <v>2011</v>
      </c>
      <c r="B164" s="8">
        <v>7</v>
      </c>
      <c r="C164" s="10">
        <v>201.55099574878901</v>
      </c>
      <c r="E164" s="10">
        <v>2011</v>
      </c>
      <c r="F164" s="10">
        <v>7</v>
      </c>
      <c r="G164" s="10">
        <v>202.450376914711</v>
      </c>
      <c r="I164" s="10">
        <v>2011</v>
      </c>
      <c r="J164" s="10">
        <v>7</v>
      </c>
      <c r="K164" s="10">
        <v>202.438131339721</v>
      </c>
      <c r="M164" s="10">
        <v>2011</v>
      </c>
      <c r="N164" s="10">
        <v>7</v>
      </c>
      <c r="O164" s="10">
        <v>202.48940884181999</v>
      </c>
      <c r="Q164" s="10">
        <v>2011</v>
      </c>
      <c r="R164" s="10">
        <v>7</v>
      </c>
      <c r="S164" s="10">
        <v>202.52689039741401</v>
      </c>
      <c r="U164" s="10">
        <v>2011</v>
      </c>
      <c r="V164" s="10">
        <v>7</v>
      </c>
      <c r="W164" s="10">
        <v>202.59054979696</v>
      </c>
      <c r="Y164" s="17">
        <v>2016</v>
      </c>
      <c r="Z164" s="17">
        <v>7</v>
      </c>
      <c r="AA164" s="17">
        <v>67276.178295871694</v>
      </c>
      <c r="AC164" s="10">
        <v>2011</v>
      </c>
      <c r="AD164" s="10">
        <v>7</v>
      </c>
      <c r="AE164" s="10">
        <v>202.583157088988</v>
      </c>
      <c r="AG164" s="10">
        <v>2011</v>
      </c>
      <c r="AH164" s="10">
        <v>7</v>
      </c>
      <c r="AI164" s="10">
        <v>202.60879542925301</v>
      </c>
      <c r="AK164" s="10">
        <v>2011</v>
      </c>
      <c r="AL164" s="10">
        <v>7</v>
      </c>
      <c r="AM164" s="10">
        <v>202.567753166882</v>
      </c>
      <c r="AO164" s="10">
        <v>2011</v>
      </c>
      <c r="AP164" s="10">
        <v>7</v>
      </c>
      <c r="AQ164" s="10">
        <v>202.646866513361</v>
      </c>
      <c r="AS164" s="10">
        <v>2011</v>
      </c>
      <c r="AT164" s="10">
        <v>7</v>
      </c>
      <c r="AU164" s="10">
        <v>202.66750376020499</v>
      </c>
      <c r="AW164" s="10">
        <v>2011</v>
      </c>
      <c r="AX164" s="10">
        <v>7</v>
      </c>
      <c r="AY164" s="10">
        <v>202.66981830502999</v>
      </c>
    </row>
    <row r="165" spans="1:51" x14ac:dyDescent="0.25">
      <c r="A165" s="8">
        <v>2011</v>
      </c>
      <c r="B165" s="8">
        <v>8</v>
      </c>
      <c r="C165" s="10">
        <v>206.72101402891801</v>
      </c>
      <c r="E165" s="10">
        <v>2011</v>
      </c>
      <c r="F165" s="10">
        <v>8</v>
      </c>
      <c r="G165" s="10">
        <v>205.40407973499501</v>
      </c>
      <c r="I165" s="10">
        <v>2011</v>
      </c>
      <c r="J165" s="10">
        <v>8</v>
      </c>
      <c r="K165" s="10">
        <v>205.40786446742601</v>
      </c>
      <c r="M165" s="10">
        <v>2011</v>
      </c>
      <c r="N165" s="10">
        <v>8</v>
      </c>
      <c r="O165" s="10">
        <v>205.322133010931</v>
      </c>
      <c r="Q165" s="10">
        <v>2011</v>
      </c>
      <c r="R165" s="10">
        <v>8</v>
      </c>
      <c r="S165" s="10">
        <v>205.245516688527</v>
      </c>
      <c r="U165" s="10">
        <v>2011</v>
      </c>
      <c r="V165" s="10">
        <v>8</v>
      </c>
      <c r="W165" s="10">
        <v>205.05985422589501</v>
      </c>
      <c r="Y165" s="17">
        <v>2016</v>
      </c>
      <c r="Z165" s="17">
        <v>8</v>
      </c>
      <c r="AA165" s="17">
        <v>67286.345579038301</v>
      </c>
      <c r="AC165" s="10">
        <v>2011</v>
      </c>
      <c r="AD165" s="10">
        <v>8</v>
      </c>
      <c r="AE165" s="10">
        <v>205.07390747772899</v>
      </c>
      <c r="AG165" s="10">
        <v>2011</v>
      </c>
      <c r="AH165" s="10">
        <v>8</v>
      </c>
      <c r="AI165" s="10">
        <v>205.00695211084701</v>
      </c>
      <c r="AK165" s="10">
        <v>2011</v>
      </c>
      <c r="AL165" s="10">
        <v>8</v>
      </c>
      <c r="AM165" s="10">
        <v>205.089442520316</v>
      </c>
      <c r="AO165" s="10">
        <v>2011</v>
      </c>
      <c r="AP165" s="10">
        <v>8</v>
      </c>
      <c r="AQ165" s="10">
        <v>204.89765947481601</v>
      </c>
      <c r="AS165" s="10">
        <v>2011</v>
      </c>
      <c r="AT165" s="10">
        <v>8</v>
      </c>
      <c r="AU165" s="10">
        <v>204.61417394308901</v>
      </c>
      <c r="AW165" s="10">
        <v>2011</v>
      </c>
      <c r="AX165" s="10">
        <v>8</v>
      </c>
      <c r="AY165" s="10">
        <v>204.605864774797</v>
      </c>
    </row>
    <row r="166" spans="1:51" x14ac:dyDescent="0.25">
      <c r="A166" s="8">
        <v>2011</v>
      </c>
      <c r="B166" s="8">
        <v>9</v>
      </c>
      <c r="C166" s="10">
        <v>206.81601020508501</v>
      </c>
      <c r="E166" s="10">
        <v>2011</v>
      </c>
      <c r="F166" s="10">
        <v>9</v>
      </c>
      <c r="G166" s="10">
        <v>206.515679405013</v>
      </c>
      <c r="I166" s="10">
        <v>2011</v>
      </c>
      <c r="J166" s="10">
        <v>9</v>
      </c>
      <c r="K166" s="10">
        <v>206.51874024748699</v>
      </c>
      <c r="M166" s="10">
        <v>2011</v>
      </c>
      <c r="N166" s="10">
        <v>9</v>
      </c>
      <c r="O166" s="10">
        <v>206.49470372166201</v>
      </c>
      <c r="Q166" s="10">
        <v>2011</v>
      </c>
      <c r="R166" s="10">
        <v>9</v>
      </c>
      <c r="S166" s="10">
        <v>206.459129341184</v>
      </c>
      <c r="U166" s="10">
        <v>2011</v>
      </c>
      <c r="V166" s="10">
        <v>9</v>
      </c>
      <c r="W166" s="10">
        <v>206.41017361260799</v>
      </c>
      <c r="Y166" s="17">
        <v>2016</v>
      </c>
      <c r="Z166" s="17">
        <v>9</v>
      </c>
      <c r="AA166" s="17">
        <v>67231.586377695101</v>
      </c>
      <c r="AC166" s="10">
        <v>2011</v>
      </c>
      <c r="AD166" s="10">
        <v>9</v>
      </c>
      <c r="AE166" s="10">
        <v>206.41522186740701</v>
      </c>
      <c r="AG166" s="10">
        <v>2011</v>
      </c>
      <c r="AH166" s="10">
        <v>9</v>
      </c>
      <c r="AI166" s="10">
        <v>206.39312417334699</v>
      </c>
      <c r="AK166" s="10">
        <v>2011</v>
      </c>
      <c r="AL166" s="10">
        <v>9</v>
      </c>
      <c r="AM166" s="10">
        <v>206.413485725323</v>
      </c>
      <c r="AO166" s="10">
        <v>2011</v>
      </c>
      <c r="AP166" s="10">
        <v>9</v>
      </c>
      <c r="AQ166" s="10">
        <v>206.44918562427199</v>
      </c>
      <c r="AS166" s="10">
        <v>2011</v>
      </c>
      <c r="AT166" s="10">
        <v>9</v>
      </c>
      <c r="AU166" s="10">
        <v>206.57172332558801</v>
      </c>
      <c r="AW166" s="10">
        <v>2011</v>
      </c>
      <c r="AX166" s="10">
        <v>9</v>
      </c>
      <c r="AY166" s="10">
        <v>206.57452089746801</v>
      </c>
    </row>
    <row r="167" spans="1:51" x14ac:dyDescent="0.25">
      <c r="A167" s="8">
        <v>2011</v>
      </c>
      <c r="B167" s="8">
        <v>10</v>
      </c>
      <c r="C167" s="10">
        <v>210.16688278651901</v>
      </c>
      <c r="E167" s="10">
        <v>2011</v>
      </c>
      <c r="F167" s="10">
        <v>10</v>
      </c>
      <c r="G167" s="10">
        <v>210.58665085132699</v>
      </c>
      <c r="I167" s="10">
        <v>2011</v>
      </c>
      <c r="J167" s="10">
        <v>10</v>
      </c>
      <c r="K167" s="10">
        <v>210.578971221757</v>
      </c>
      <c r="M167" s="10">
        <v>2011</v>
      </c>
      <c r="N167" s="10">
        <v>10</v>
      </c>
      <c r="O167" s="10">
        <v>210.62851656538101</v>
      </c>
      <c r="Q167" s="10">
        <v>2011</v>
      </c>
      <c r="R167" s="10">
        <v>10</v>
      </c>
      <c r="S167" s="10">
        <v>210.674986511616</v>
      </c>
      <c r="U167" s="10">
        <v>2011</v>
      </c>
      <c r="V167" s="10">
        <v>10</v>
      </c>
      <c r="W167" s="10">
        <v>210.743923296502</v>
      </c>
      <c r="Y167" s="17">
        <v>2016</v>
      </c>
      <c r="Z167" s="17">
        <v>10</v>
      </c>
      <c r="AA167" s="17">
        <v>66700.512520339398</v>
      </c>
      <c r="AC167" s="10">
        <v>2011</v>
      </c>
      <c r="AD167" s="10">
        <v>10</v>
      </c>
      <c r="AE167" s="10">
        <v>210.73931037916901</v>
      </c>
      <c r="AG167" s="10">
        <v>2011</v>
      </c>
      <c r="AH167" s="10">
        <v>10</v>
      </c>
      <c r="AI167" s="10">
        <v>210.77404534220599</v>
      </c>
      <c r="AK167" s="10">
        <v>2011</v>
      </c>
      <c r="AL167" s="10">
        <v>10</v>
      </c>
      <c r="AM167" s="10">
        <v>210.733146448046</v>
      </c>
      <c r="AO167" s="10">
        <v>2011</v>
      </c>
      <c r="AP167" s="10">
        <v>10</v>
      </c>
      <c r="AQ167" s="10">
        <v>210.87487267874101</v>
      </c>
      <c r="AS167" s="10">
        <v>2011</v>
      </c>
      <c r="AT167" s="10">
        <v>10</v>
      </c>
      <c r="AU167" s="10">
        <v>210.73708596942799</v>
      </c>
      <c r="AW167" s="10">
        <v>2011</v>
      </c>
      <c r="AX167" s="10">
        <v>10</v>
      </c>
      <c r="AY167" s="10">
        <v>210.738716273666</v>
      </c>
    </row>
    <row r="168" spans="1:51" x14ac:dyDescent="0.25">
      <c r="A168" s="8">
        <v>2011</v>
      </c>
      <c r="B168" s="8">
        <v>11</v>
      </c>
      <c r="C168" s="10">
        <v>205.78878680514799</v>
      </c>
      <c r="E168" s="10">
        <v>2011</v>
      </c>
      <c r="F168" s="10">
        <v>11</v>
      </c>
      <c r="G168" s="10">
        <v>205.52778069516199</v>
      </c>
      <c r="I168" s="10">
        <v>2011</v>
      </c>
      <c r="J168" s="10">
        <v>11</v>
      </c>
      <c r="K168" s="10">
        <v>205.53048498430499</v>
      </c>
      <c r="M168" s="10">
        <v>2011</v>
      </c>
      <c r="N168" s="10">
        <v>11</v>
      </c>
      <c r="O168" s="10">
        <v>205.51308850585499</v>
      </c>
      <c r="Q168" s="10">
        <v>2011</v>
      </c>
      <c r="R168" s="10">
        <v>11</v>
      </c>
      <c r="S168" s="10">
        <v>205.49031005944701</v>
      </c>
      <c r="U168" s="10">
        <v>2011</v>
      </c>
      <c r="V168" s="10">
        <v>11</v>
      </c>
      <c r="W168" s="10">
        <v>205.45677967099201</v>
      </c>
      <c r="Y168" s="17">
        <v>2016</v>
      </c>
      <c r="Z168" s="17">
        <v>11</v>
      </c>
      <c r="AA168" s="17">
        <v>66325.024404821001</v>
      </c>
      <c r="AC168" s="10">
        <v>2011</v>
      </c>
      <c r="AD168" s="10">
        <v>11</v>
      </c>
      <c r="AE168" s="10">
        <v>205.460895300761</v>
      </c>
      <c r="AG168" s="10">
        <v>2011</v>
      </c>
      <c r="AH168" s="10">
        <v>11</v>
      </c>
      <c r="AI168" s="10">
        <v>205.447157995049</v>
      </c>
      <c r="AK168" s="10">
        <v>2011</v>
      </c>
      <c r="AL168" s="10">
        <v>11</v>
      </c>
      <c r="AM168" s="10">
        <v>205.45968293616599</v>
      </c>
      <c r="AO168" s="10">
        <v>2011</v>
      </c>
      <c r="AP168" s="10">
        <v>11</v>
      </c>
      <c r="AQ168" s="10">
        <v>205.446074565065</v>
      </c>
      <c r="AS168" s="10">
        <v>2011</v>
      </c>
      <c r="AT168" s="10">
        <v>11</v>
      </c>
      <c r="AU168" s="10">
        <v>205.532712268556</v>
      </c>
      <c r="AW168" s="10">
        <v>2011</v>
      </c>
      <c r="AX168" s="10">
        <v>11</v>
      </c>
      <c r="AY168" s="10">
        <v>205.53140308839599</v>
      </c>
    </row>
    <row r="169" spans="1:51" x14ac:dyDescent="0.25">
      <c r="A169" s="8">
        <v>2011</v>
      </c>
      <c r="B169" s="8">
        <v>12</v>
      </c>
      <c r="C169" s="10">
        <v>217.27704292197799</v>
      </c>
      <c r="E169" s="10">
        <v>2011</v>
      </c>
      <c r="F169" s="10">
        <v>12</v>
      </c>
      <c r="G169" s="10">
        <v>216.76575129507299</v>
      </c>
      <c r="I169" s="10">
        <v>2011</v>
      </c>
      <c r="J169" s="10">
        <v>12</v>
      </c>
      <c r="K169" s="10">
        <v>216.76509218841201</v>
      </c>
      <c r="M169" s="10">
        <v>2011</v>
      </c>
      <c r="N169" s="10">
        <v>12</v>
      </c>
      <c r="O169" s="10">
        <v>216.773095956351</v>
      </c>
      <c r="Q169" s="10">
        <v>2011</v>
      </c>
      <c r="R169" s="10">
        <v>12</v>
      </c>
      <c r="S169" s="10">
        <v>216.77771242396099</v>
      </c>
      <c r="U169" s="10">
        <v>2011</v>
      </c>
      <c r="V169" s="10">
        <v>12</v>
      </c>
      <c r="W169" s="10">
        <v>216.786697298668</v>
      </c>
      <c r="Y169" s="17">
        <v>2016</v>
      </c>
      <c r="Z169" s="17">
        <v>12</v>
      </c>
      <c r="AA169" s="17">
        <v>67967.952669273101</v>
      </c>
      <c r="AC169" s="10">
        <v>2011</v>
      </c>
      <c r="AD169" s="10">
        <v>12</v>
      </c>
      <c r="AE169" s="10">
        <v>216.786984794799</v>
      </c>
      <c r="AG169" s="10">
        <v>2011</v>
      </c>
      <c r="AH169" s="10">
        <v>12</v>
      </c>
      <c r="AI169" s="10">
        <v>216.79802936350299</v>
      </c>
      <c r="AK169" s="10">
        <v>2011</v>
      </c>
      <c r="AL169" s="10">
        <v>12</v>
      </c>
      <c r="AM169" s="10">
        <v>216.78720917739099</v>
      </c>
      <c r="AO169" s="10">
        <v>2011</v>
      </c>
      <c r="AP169" s="10">
        <v>12</v>
      </c>
      <c r="AQ169" s="10">
        <v>216.80432948975101</v>
      </c>
      <c r="AS169" s="10">
        <v>2011</v>
      </c>
      <c r="AT169" s="10">
        <v>12</v>
      </c>
      <c r="AU169" s="10">
        <v>216.85616121434899</v>
      </c>
      <c r="AW169" s="10">
        <v>2011</v>
      </c>
      <c r="AX169" s="10">
        <v>12</v>
      </c>
      <c r="AY169" s="10">
        <v>216.85685483956399</v>
      </c>
    </row>
    <row r="170" spans="1:51" x14ac:dyDescent="0.25">
      <c r="A170" s="8">
        <v>2012</v>
      </c>
      <c r="B170" s="8">
        <v>1</v>
      </c>
      <c r="C170" s="10">
        <v>215.915626253558</v>
      </c>
      <c r="E170" s="10">
        <v>2012</v>
      </c>
      <c r="F170" s="10">
        <v>1</v>
      </c>
      <c r="G170" s="10">
        <v>216.05710224695099</v>
      </c>
      <c r="I170" s="10">
        <v>2012</v>
      </c>
      <c r="J170" s="10">
        <v>1</v>
      </c>
      <c r="K170" s="10">
        <v>216.05808346955001</v>
      </c>
      <c r="M170" s="10">
        <v>2012</v>
      </c>
      <c r="N170" s="10">
        <v>1</v>
      </c>
      <c r="O170" s="10">
        <v>216.060184289023</v>
      </c>
      <c r="Q170" s="10">
        <v>2012</v>
      </c>
      <c r="R170" s="10">
        <v>1</v>
      </c>
      <c r="S170" s="10">
        <v>216.059337722577</v>
      </c>
      <c r="U170" s="10">
        <v>2012</v>
      </c>
      <c r="V170" s="10">
        <v>1</v>
      </c>
      <c r="W170" s="10">
        <v>216.06306954124</v>
      </c>
      <c r="Y170" s="17">
        <v>2017</v>
      </c>
      <c r="Z170" s="17">
        <v>1</v>
      </c>
      <c r="AA170" s="17">
        <v>68844.692554697103</v>
      </c>
      <c r="AC170" s="10">
        <v>2012</v>
      </c>
      <c r="AD170" s="10">
        <v>1</v>
      </c>
      <c r="AE170" s="10">
        <v>216.06416681879099</v>
      </c>
      <c r="AG170" s="10">
        <v>2012</v>
      </c>
      <c r="AH170" s="10">
        <v>1</v>
      </c>
      <c r="AI170" s="10">
        <v>216.07042942303701</v>
      </c>
      <c r="AK170" s="10">
        <v>2012</v>
      </c>
      <c r="AL170" s="10">
        <v>1</v>
      </c>
      <c r="AM170" s="10">
        <v>216.06740558642599</v>
      </c>
      <c r="AO170" s="10">
        <v>2012</v>
      </c>
      <c r="AP170" s="10">
        <v>1</v>
      </c>
      <c r="AQ170" s="10">
        <v>216.071682752269</v>
      </c>
      <c r="AS170" s="10">
        <v>2012</v>
      </c>
      <c r="AT170" s="10">
        <v>1</v>
      </c>
      <c r="AU170" s="10">
        <v>216.127705636657</v>
      </c>
      <c r="AW170" s="10">
        <v>2012</v>
      </c>
      <c r="AX170" s="10">
        <v>1</v>
      </c>
      <c r="AY170" s="10">
        <v>216.12940612069599</v>
      </c>
    </row>
    <row r="171" spans="1:51" x14ac:dyDescent="0.25">
      <c r="A171" s="8">
        <v>2012</v>
      </c>
      <c r="B171" s="8">
        <v>2</v>
      </c>
      <c r="C171" s="10">
        <v>217.34695721671599</v>
      </c>
      <c r="E171" s="10">
        <v>2012</v>
      </c>
      <c r="F171" s="10">
        <v>2</v>
      </c>
      <c r="G171" s="10">
        <v>217.39500016365301</v>
      </c>
      <c r="I171" s="10">
        <v>2012</v>
      </c>
      <c r="J171" s="10">
        <v>2</v>
      </c>
      <c r="K171" s="10">
        <v>217.40736439024701</v>
      </c>
      <c r="M171" s="10">
        <v>2012</v>
      </c>
      <c r="N171" s="10">
        <v>2</v>
      </c>
      <c r="O171" s="10">
        <v>217.392392299265</v>
      </c>
      <c r="Q171" s="10">
        <v>2012</v>
      </c>
      <c r="R171" s="10">
        <v>2</v>
      </c>
      <c r="S171" s="10">
        <v>217.43757382329599</v>
      </c>
      <c r="U171" s="10">
        <v>2012</v>
      </c>
      <c r="V171" s="10">
        <v>2</v>
      </c>
      <c r="W171" s="10">
        <v>217.28139525964301</v>
      </c>
      <c r="Y171" s="17">
        <v>2017</v>
      </c>
      <c r="Z171" s="17">
        <v>2</v>
      </c>
      <c r="AA171" s="17">
        <v>69973.552528252898</v>
      </c>
      <c r="AC171" s="10">
        <v>2012</v>
      </c>
      <c r="AD171" s="10">
        <v>2</v>
      </c>
      <c r="AE171" s="10">
        <v>217.28012515459599</v>
      </c>
      <c r="AG171" s="10">
        <v>2012</v>
      </c>
      <c r="AH171" s="10">
        <v>2</v>
      </c>
      <c r="AI171" s="10">
        <v>217.27035842677401</v>
      </c>
      <c r="AK171" s="10">
        <v>2012</v>
      </c>
      <c r="AL171" s="10">
        <v>2</v>
      </c>
      <c r="AM171" s="10">
        <v>217.27795106018601</v>
      </c>
      <c r="AO171" s="10">
        <v>2012</v>
      </c>
      <c r="AP171" s="10">
        <v>2</v>
      </c>
      <c r="AQ171" s="10">
        <v>217.260540682064</v>
      </c>
      <c r="AS171" s="10">
        <v>2012</v>
      </c>
      <c r="AT171" s="10">
        <v>2</v>
      </c>
      <c r="AU171" s="10">
        <v>216.59555708754999</v>
      </c>
      <c r="AW171" s="10">
        <v>2012</v>
      </c>
      <c r="AX171" s="10">
        <v>2</v>
      </c>
      <c r="AY171" s="10">
        <v>216.48077252346101</v>
      </c>
    </row>
    <row r="172" spans="1:51" x14ac:dyDescent="0.25">
      <c r="A172" s="8">
        <v>2012</v>
      </c>
      <c r="B172" s="8">
        <v>3</v>
      </c>
      <c r="C172" s="10">
        <v>217.39126848397299</v>
      </c>
      <c r="E172" s="10">
        <v>2012</v>
      </c>
      <c r="F172" s="10">
        <v>3</v>
      </c>
      <c r="G172" s="10">
        <v>218.02840529642</v>
      </c>
      <c r="I172" s="10">
        <v>2012</v>
      </c>
      <c r="J172" s="10">
        <v>3</v>
      </c>
      <c r="K172" s="10">
        <v>218.032525027193</v>
      </c>
      <c r="M172" s="10">
        <v>2012</v>
      </c>
      <c r="N172" s="10">
        <v>3</v>
      </c>
      <c r="O172" s="10">
        <v>218.04398644161199</v>
      </c>
      <c r="Q172" s="10">
        <v>2012</v>
      </c>
      <c r="R172" s="10">
        <v>3</v>
      </c>
      <c r="S172" s="10">
        <v>218.12668246895899</v>
      </c>
      <c r="U172" s="10">
        <v>2012</v>
      </c>
      <c r="V172" s="10">
        <v>3</v>
      </c>
      <c r="W172" s="10">
        <v>218.24418810010599</v>
      </c>
      <c r="Y172" s="17">
        <v>2017</v>
      </c>
      <c r="Z172" s="17">
        <v>3</v>
      </c>
      <c r="AA172" s="17">
        <v>70190.739711002097</v>
      </c>
      <c r="AC172" s="10">
        <v>2012</v>
      </c>
      <c r="AD172" s="10">
        <v>3</v>
      </c>
      <c r="AE172" s="10">
        <v>218.240084399691</v>
      </c>
      <c r="AG172" s="10">
        <v>2012</v>
      </c>
      <c r="AH172" s="10">
        <v>3</v>
      </c>
      <c r="AI172" s="10">
        <v>218.254656464611</v>
      </c>
      <c r="AK172" s="10">
        <v>2012</v>
      </c>
      <c r="AL172" s="10">
        <v>3</v>
      </c>
      <c r="AM172" s="10">
        <v>218.245066891037</v>
      </c>
      <c r="AO172" s="10">
        <v>2012</v>
      </c>
      <c r="AP172" s="10">
        <v>3</v>
      </c>
      <c r="AQ172" s="10">
        <v>218.22757227722099</v>
      </c>
      <c r="AS172" s="10">
        <v>2012</v>
      </c>
      <c r="AT172" s="10">
        <v>3</v>
      </c>
      <c r="AU172" s="10">
        <v>218.34312238785299</v>
      </c>
      <c r="AW172" s="10">
        <v>2012</v>
      </c>
      <c r="AX172" s="10">
        <v>3</v>
      </c>
      <c r="AY172" s="10">
        <v>218.34597248955001</v>
      </c>
    </row>
    <row r="173" spans="1:51" x14ac:dyDescent="0.25">
      <c r="A173" s="8">
        <v>2012</v>
      </c>
      <c r="B173" s="8">
        <v>4</v>
      </c>
      <c r="C173" s="10">
        <v>211.692399131358</v>
      </c>
      <c r="E173" s="10">
        <v>2012</v>
      </c>
      <c r="F173" s="10">
        <v>4</v>
      </c>
      <c r="G173" s="10">
        <v>211.845720458936</v>
      </c>
      <c r="I173" s="10">
        <v>2012</v>
      </c>
      <c r="J173" s="10">
        <v>4</v>
      </c>
      <c r="K173" s="10">
        <v>211.837575722536</v>
      </c>
      <c r="M173" s="10">
        <v>2012</v>
      </c>
      <c r="N173" s="10">
        <v>4</v>
      </c>
      <c r="O173" s="10">
        <v>211.86616304242199</v>
      </c>
      <c r="Q173" s="10">
        <v>2012</v>
      </c>
      <c r="R173" s="10">
        <v>4</v>
      </c>
      <c r="S173" s="10">
        <v>211.85140644919301</v>
      </c>
      <c r="U173" s="10">
        <v>2012</v>
      </c>
      <c r="V173" s="10">
        <v>4</v>
      </c>
      <c r="W173" s="10">
        <v>211.82272144483301</v>
      </c>
      <c r="Y173" s="17">
        <v>2017</v>
      </c>
      <c r="Z173" s="17">
        <v>4</v>
      </c>
      <c r="AA173" s="17">
        <v>70406.245880001705</v>
      </c>
      <c r="AC173" s="10">
        <v>2012</v>
      </c>
      <c r="AD173" s="10">
        <v>4</v>
      </c>
      <c r="AE173" s="10">
        <v>211.82245329976101</v>
      </c>
      <c r="AG173" s="10">
        <v>2012</v>
      </c>
      <c r="AH173" s="10">
        <v>4</v>
      </c>
      <c r="AI173" s="10">
        <v>211.853946235595</v>
      </c>
      <c r="AK173" s="10">
        <v>2012</v>
      </c>
      <c r="AL173" s="10">
        <v>4</v>
      </c>
      <c r="AM173" s="10">
        <v>211.82929341937501</v>
      </c>
      <c r="AO173" s="10">
        <v>2012</v>
      </c>
      <c r="AP173" s="10">
        <v>4</v>
      </c>
      <c r="AQ173" s="10">
        <v>211.864632784484</v>
      </c>
      <c r="AS173" s="10">
        <v>2012</v>
      </c>
      <c r="AT173" s="10">
        <v>4</v>
      </c>
      <c r="AU173" s="10">
        <v>211.87606961887201</v>
      </c>
      <c r="AW173" s="10">
        <v>2012</v>
      </c>
      <c r="AX173" s="10">
        <v>4</v>
      </c>
      <c r="AY173" s="10">
        <v>211.879949057847</v>
      </c>
    </row>
    <row r="174" spans="1:51" x14ac:dyDescent="0.25">
      <c r="A174" s="8">
        <v>2012</v>
      </c>
      <c r="B174" s="8">
        <v>5</v>
      </c>
      <c r="C174" s="10">
        <v>217.979468535775</v>
      </c>
      <c r="E174" s="10">
        <v>2012</v>
      </c>
      <c r="F174" s="10">
        <v>5</v>
      </c>
      <c r="G174" s="10">
        <v>217.60205578333401</v>
      </c>
      <c r="I174" s="10">
        <v>2012</v>
      </c>
      <c r="J174" s="10">
        <v>5</v>
      </c>
      <c r="K174" s="10">
        <v>217.606571529543</v>
      </c>
      <c r="M174" s="10">
        <v>2012</v>
      </c>
      <c r="N174" s="10">
        <v>5</v>
      </c>
      <c r="O174" s="10">
        <v>217.585940754679</v>
      </c>
      <c r="Q174" s="10">
        <v>2012</v>
      </c>
      <c r="R174" s="10">
        <v>5</v>
      </c>
      <c r="S174" s="10">
        <v>217.55958915001199</v>
      </c>
      <c r="U174" s="10">
        <v>2012</v>
      </c>
      <c r="V174" s="10">
        <v>5</v>
      </c>
      <c r="W174" s="10">
        <v>217.52953170769601</v>
      </c>
      <c r="Y174" s="17">
        <v>2017</v>
      </c>
      <c r="Z174" s="17">
        <v>5</v>
      </c>
      <c r="AA174" s="17">
        <v>70891.452918259907</v>
      </c>
      <c r="AC174" s="10">
        <v>2012</v>
      </c>
      <c r="AD174" s="10">
        <v>5</v>
      </c>
      <c r="AE174" s="10">
        <v>217.52740246464001</v>
      </c>
      <c r="AG174" s="10">
        <v>2012</v>
      </c>
      <c r="AH174" s="10">
        <v>5</v>
      </c>
      <c r="AI174" s="10">
        <v>217.52706397816399</v>
      </c>
      <c r="AK174" s="10">
        <v>2012</v>
      </c>
      <c r="AL174" s="10">
        <v>5</v>
      </c>
      <c r="AM174" s="10">
        <v>217.543123381367</v>
      </c>
      <c r="AO174" s="10">
        <v>2012</v>
      </c>
      <c r="AP174" s="10">
        <v>5</v>
      </c>
      <c r="AQ174" s="10">
        <v>217.487098581617</v>
      </c>
      <c r="AS174" s="10">
        <v>2012</v>
      </c>
      <c r="AT174" s="10">
        <v>5</v>
      </c>
      <c r="AU174" s="10">
        <v>217.56826240947299</v>
      </c>
      <c r="AW174" s="10">
        <v>2012</v>
      </c>
      <c r="AX174" s="10">
        <v>5</v>
      </c>
      <c r="AY174" s="10">
        <v>217.56851900515801</v>
      </c>
    </row>
    <row r="175" spans="1:51" x14ac:dyDescent="0.25">
      <c r="A175" s="8">
        <v>2012</v>
      </c>
      <c r="B175" s="8">
        <v>6</v>
      </c>
      <c r="C175" s="10">
        <v>207.81531376357</v>
      </c>
      <c r="E175" s="10">
        <v>2012</v>
      </c>
      <c r="F175" s="10">
        <v>6</v>
      </c>
      <c r="G175" s="10">
        <v>208.440497180937</v>
      </c>
      <c r="I175" s="10">
        <v>2012</v>
      </c>
      <c r="J175" s="10">
        <v>6</v>
      </c>
      <c r="K175" s="10">
        <v>208.43895304102799</v>
      </c>
      <c r="M175" s="10">
        <v>2012</v>
      </c>
      <c r="N175" s="10">
        <v>6</v>
      </c>
      <c r="O175" s="10">
        <v>208.458336612789</v>
      </c>
      <c r="Q175" s="10">
        <v>2012</v>
      </c>
      <c r="R175" s="10">
        <v>6</v>
      </c>
      <c r="S175" s="10">
        <v>208.47889230014599</v>
      </c>
      <c r="U175" s="10">
        <v>2012</v>
      </c>
      <c r="V175" s="10">
        <v>6</v>
      </c>
      <c r="W175" s="10">
        <v>208.584563162222</v>
      </c>
      <c r="Y175" s="17">
        <v>2017</v>
      </c>
      <c r="Z175" s="17">
        <v>6</v>
      </c>
      <c r="AA175" s="17">
        <v>71864.555074465796</v>
      </c>
      <c r="AC175" s="10">
        <v>2012</v>
      </c>
      <c r="AD175" s="10">
        <v>6</v>
      </c>
      <c r="AE175" s="10">
        <v>208.57864648591601</v>
      </c>
      <c r="AG175" s="10">
        <v>2012</v>
      </c>
      <c r="AH175" s="10">
        <v>6</v>
      </c>
      <c r="AI175" s="10">
        <v>208.53325786241899</v>
      </c>
      <c r="AK175" s="10">
        <v>2012</v>
      </c>
      <c r="AL175" s="10">
        <v>6</v>
      </c>
      <c r="AM175" s="10">
        <v>208.51445137239199</v>
      </c>
      <c r="AO175" s="10">
        <v>2012</v>
      </c>
      <c r="AP175" s="10">
        <v>6</v>
      </c>
      <c r="AQ175" s="10">
        <v>208.544013500126</v>
      </c>
      <c r="AS175" s="10">
        <v>2012</v>
      </c>
      <c r="AT175" s="10">
        <v>6</v>
      </c>
      <c r="AU175" s="10">
        <v>208.412285197138</v>
      </c>
      <c r="AW175" s="10">
        <v>2012</v>
      </c>
      <c r="AX175" s="10">
        <v>6</v>
      </c>
      <c r="AY175" s="10">
        <v>208.41257084936899</v>
      </c>
    </row>
    <row r="176" spans="1:51" x14ac:dyDescent="0.25">
      <c r="A176" s="8">
        <v>2012</v>
      </c>
      <c r="B176" s="8">
        <v>7</v>
      </c>
      <c r="C176" s="10">
        <v>216.443065380657</v>
      </c>
      <c r="E176" s="10">
        <v>2012</v>
      </c>
      <c r="F176" s="10">
        <v>7</v>
      </c>
      <c r="G176" s="10">
        <v>216.75323766689201</v>
      </c>
      <c r="I176" s="10">
        <v>2012</v>
      </c>
      <c r="J176" s="10">
        <v>7</v>
      </c>
      <c r="K176" s="10">
        <v>216.75065813134299</v>
      </c>
      <c r="M176" s="10">
        <v>2012</v>
      </c>
      <c r="N176" s="10">
        <v>7</v>
      </c>
      <c r="O176" s="10">
        <v>216.76332066021499</v>
      </c>
      <c r="Q176" s="10">
        <v>2012</v>
      </c>
      <c r="R176" s="10">
        <v>7</v>
      </c>
      <c r="S176" s="10">
        <v>216.76674634939701</v>
      </c>
      <c r="U176" s="10">
        <v>2012</v>
      </c>
      <c r="V176" s="10">
        <v>7</v>
      </c>
      <c r="W176" s="10">
        <v>216.772846936875</v>
      </c>
      <c r="Y176" s="17">
        <v>2017</v>
      </c>
      <c r="Z176" s="17">
        <v>7</v>
      </c>
      <c r="AA176" s="17">
        <v>72653.757177160005</v>
      </c>
      <c r="AC176" s="10">
        <v>2012</v>
      </c>
      <c r="AD176" s="10">
        <v>7</v>
      </c>
      <c r="AE176" s="10">
        <v>216.77060904389799</v>
      </c>
      <c r="AG176" s="10">
        <v>2012</v>
      </c>
      <c r="AH176" s="10">
        <v>7</v>
      </c>
      <c r="AI176" s="10">
        <v>216.78243210633499</v>
      </c>
      <c r="AK176" s="10">
        <v>2012</v>
      </c>
      <c r="AL176" s="10">
        <v>7</v>
      </c>
      <c r="AM176" s="10">
        <v>216.77478585571399</v>
      </c>
      <c r="AO176" s="10">
        <v>2012</v>
      </c>
      <c r="AP176" s="10">
        <v>7</v>
      </c>
      <c r="AQ176" s="10">
        <v>216.797053866933</v>
      </c>
      <c r="AS176" s="10">
        <v>2012</v>
      </c>
      <c r="AT176" s="10">
        <v>7</v>
      </c>
      <c r="AU176" s="10">
        <v>216.80742485963501</v>
      </c>
      <c r="AW176" s="10">
        <v>2012</v>
      </c>
      <c r="AX176" s="10">
        <v>7</v>
      </c>
      <c r="AY176" s="10">
        <v>216.80820692018801</v>
      </c>
    </row>
    <row r="177" spans="1:51" x14ac:dyDescent="0.25">
      <c r="A177" s="8">
        <v>2012</v>
      </c>
      <c r="B177" s="8">
        <v>8</v>
      </c>
      <c r="C177" s="10">
        <v>206.86598084612899</v>
      </c>
      <c r="E177" s="10">
        <v>2012</v>
      </c>
      <c r="F177" s="10">
        <v>8</v>
      </c>
      <c r="G177" s="10">
        <v>205.688163624217</v>
      </c>
      <c r="I177" s="10">
        <v>2012</v>
      </c>
      <c r="J177" s="10">
        <v>8</v>
      </c>
      <c r="K177" s="10">
        <v>205.69477073467101</v>
      </c>
      <c r="M177" s="10">
        <v>2012</v>
      </c>
      <c r="N177" s="10">
        <v>8</v>
      </c>
      <c r="O177" s="10">
        <v>205.61515723683399</v>
      </c>
      <c r="Q177" s="10">
        <v>2012</v>
      </c>
      <c r="R177" s="10">
        <v>8</v>
      </c>
      <c r="S177" s="10">
        <v>205.545061538358</v>
      </c>
      <c r="U177" s="10">
        <v>2012</v>
      </c>
      <c r="V177" s="10">
        <v>8</v>
      </c>
      <c r="W177" s="10">
        <v>205.376244678441</v>
      </c>
      <c r="Y177" s="17">
        <v>2017</v>
      </c>
      <c r="Z177" s="17">
        <v>8</v>
      </c>
      <c r="AA177" s="17">
        <v>73802.627099126097</v>
      </c>
      <c r="AC177" s="10">
        <v>2012</v>
      </c>
      <c r="AD177" s="10">
        <v>8</v>
      </c>
      <c r="AE177" s="10">
        <v>205.38828382695399</v>
      </c>
      <c r="AG177" s="10">
        <v>2012</v>
      </c>
      <c r="AH177" s="10">
        <v>8</v>
      </c>
      <c r="AI177" s="10">
        <v>205.34185322660201</v>
      </c>
      <c r="AK177" s="10">
        <v>2012</v>
      </c>
      <c r="AL177" s="10">
        <v>8</v>
      </c>
      <c r="AM177" s="10">
        <v>205.416247375193</v>
      </c>
      <c r="AO177" s="10">
        <v>2012</v>
      </c>
      <c r="AP177" s="10">
        <v>8</v>
      </c>
      <c r="AQ177" s="10">
        <v>205.26130585926401</v>
      </c>
      <c r="AS177" s="10">
        <v>2012</v>
      </c>
      <c r="AT177" s="10">
        <v>8</v>
      </c>
      <c r="AU177" s="10">
        <v>205.05711155494501</v>
      </c>
      <c r="AW177" s="10">
        <v>2012</v>
      </c>
      <c r="AX177" s="10">
        <v>8</v>
      </c>
      <c r="AY177" s="10">
        <v>205.05004157768099</v>
      </c>
    </row>
    <row r="178" spans="1:51" x14ac:dyDescent="0.25">
      <c r="A178" s="8">
        <v>2012</v>
      </c>
      <c r="B178" s="8">
        <v>9</v>
      </c>
      <c r="C178" s="10">
        <v>216.86579295281601</v>
      </c>
      <c r="E178" s="10">
        <v>2012</v>
      </c>
      <c r="F178" s="10">
        <v>9</v>
      </c>
      <c r="G178" s="10">
        <v>218.00474707785401</v>
      </c>
      <c r="I178" s="10">
        <v>2012</v>
      </c>
      <c r="J178" s="10">
        <v>9</v>
      </c>
      <c r="K178" s="10">
        <v>217.99629315463</v>
      </c>
      <c r="M178" s="10">
        <v>2012</v>
      </c>
      <c r="N178" s="10">
        <v>9</v>
      </c>
      <c r="O178" s="10">
        <v>218.04281233846999</v>
      </c>
      <c r="Q178" s="10">
        <v>2012</v>
      </c>
      <c r="R178" s="10">
        <v>9</v>
      </c>
      <c r="S178" s="10">
        <v>218.080192070755</v>
      </c>
      <c r="U178" s="10">
        <v>2012</v>
      </c>
      <c r="V178" s="10">
        <v>9</v>
      </c>
      <c r="W178" s="10">
        <v>218.131106599432</v>
      </c>
      <c r="Y178" s="17">
        <v>2017</v>
      </c>
      <c r="Z178" s="17">
        <v>9</v>
      </c>
      <c r="AA178" s="17">
        <v>75365.662356379296</v>
      </c>
      <c r="AC178" s="10">
        <v>2012</v>
      </c>
      <c r="AD178" s="10">
        <v>9</v>
      </c>
      <c r="AE178" s="10">
        <v>218.125002004799</v>
      </c>
      <c r="AG178" s="10">
        <v>2012</v>
      </c>
      <c r="AH178" s="10">
        <v>9</v>
      </c>
      <c r="AI178" s="10">
        <v>218.16039440124899</v>
      </c>
      <c r="AK178" s="10">
        <v>2012</v>
      </c>
      <c r="AL178" s="10">
        <v>9</v>
      </c>
      <c r="AM178" s="10">
        <v>218.128699277305</v>
      </c>
      <c r="AO178" s="10">
        <v>2012</v>
      </c>
      <c r="AP178" s="10">
        <v>9</v>
      </c>
      <c r="AQ178" s="10">
        <v>218.191267030603</v>
      </c>
      <c r="AS178" s="10">
        <v>2012</v>
      </c>
      <c r="AT178" s="10">
        <v>9</v>
      </c>
      <c r="AU178" s="10">
        <v>218.22260607633899</v>
      </c>
      <c r="AW178" s="10">
        <v>2012</v>
      </c>
      <c r="AX178" s="10">
        <v>9</v>
      </c>
      <c r="AY178" s="10">
        <v>218.226779978482</v>
      </c>
    </row>
    <row r="179" spans="1:51" x14ac:dyDescent="0.25">
      <c r="A179" s="8">
        <v>2012</v>
      </c>
      <c r="B179" s="8">
        <v>10</v>
      </c>
      <c r="C179" s="10">
        <v>220.43969079737801</v>
      </c>
      <c r="E179" s="10">
        <v>2012</v>
      </c>
      <c r="F179" s="10">
        <v>10</v>
      </c>
      <c r="G179" s="10">
        <v>219.81408971629401</v>
      </c>
      <c r="I179" s="10">
        <v>2012</v>
      </c>
      <c r="J179" s="10">
        <v>10</v>
      </c>
      <c r="K179" s="10">
        <v>219.81907028078601</v>
      </c>
      <c r="M179" s="10">
        <v>2012</v>
      </c>
      <c r="N179" s="10">
        <v>10</v>
      </c>
      <c r="O179" s="10">
        <v>219.790065202167</v>
      </c>
      <c r="Q179" s="10">
        <v>2012</v>
      </c>
      <c r="R179" s="10">
        <v>10</v>
      </c>
      <c r="S179" s="10">
        <v>219.75834618755201</v>
      </c>
      <c r="U179" s="10">
        <v>2012</v>
      </c>
      <c r="V179" s="10">
        <v>10</v>
      </c>
      <c r="W179" s="10">
        <v>219.70736266390301</v>
      </c>
      <c r="Y179" s="17">
        <v>2017</v>
      </c>
      <c r="Z179" s="17">
        <v>10</v>
      </c>
      <c r="AA179" s="17">
        <v>77254.664555141906</v>
      </c>
      <c r="AC179" s="10">
        <v>2012</v>
      </c>
      <c r="AD179" s="10">
        <v>10</v>
      </c>
      <c r="AE179" s="10">
        <v>219.712980133055</v>
      </c>
      <c r="AG179" s="10">
        <v>2012</v>
      </c>
      <c r="AH179" s="10">
        <v>10</v>
      </c>
      <c r="AI179" s="10">
        <v>219.69123114928701</v>
      </c>
      <c r="AK179" s="10">
        <v>2012</v>
      </c>
      <c r="AL179" s="10">
        <v>10</v>
      </c>
      <c r="AM179" s="10">
        <v>219.71452473345499</v>
      </c>
      <c r="AO179" s="10">
        <v>2012</v>
      </c>
      <c r="AP179" s="10">
        <v>10</v>
      </c>
      <c r="AQ179" s="10">
        <v>219.73247311584799</v>
      </c>
      <c r="AS179" s="10">
        <v>2012</v>
      </c>
      <c r="AT179" s="10">
        <v>10</v>
      </c>
      <c r="AU179" s="10">
        <v>219.70329793791601</v>
      </c>
      <c r="AW179" s="10">
        <v>2012</v>
      </c>
      <c r="AX179" s="10">
        <v>10</v>
      </c>
      <c r="AY179" s="10">
        <v>219.70096340983201</v>
      </c>
    </row>
    <row r="180" spans="1:51" x14ac:dyDescent="0.25">
      <c r="A180" s="8">
        <v>2012</v>
      </c>
      <c r="B180" s="8">
        <v>11</v>
      </c>
      <c r="C180" s="10">
        <v>224.659478747827</v>
      </c>
      <c r="E180" s="10">
        <v>2012</v>
      </c>
      <c r="F180" s="10">
        <v>11</v>
      </c>
      <c r="G180" s="10">
        <v>224.45156050407601</v>
      </c>
      <c r="I180" s="10">
        <v>2012</v>
      </c>
      <c r="J180" s="10">
        <v>11</v>
      </c>
      <c r="K180" s="10">
        <v>224.45365866781799</v>
      </c>
      <c r="M180" s="10">
        <v>2012</v>
      </c>
      <c r="N180" s="10">
        <v>11</v>
      </c>
      <c r="O180" s="10">
        <v>224.44029165969201</v>
      </c>
      <c r="Q180" s="10">
        <v>2012</v>
      </c>
      <c r="R180" s="10">
        <v>11</v>
      </c>
      <c r="S180" s="10">
        <v>224.42496297672599</v>
      </c>
      <c r="U180" s="10">
        <v>2012</v>
      </c>
      <c r="V180" s="10">
        <v>11</v>
      </c>
      <c r="W180" s="10">
        <v>224.39990333031301</v>
      </c>
      <c r="Y180" s="17">
        <v>2017</v>
      </c>
      <c r="Z180" s="17">
        <v>11</v>
      </c>
      <c r="AA180" s="17">
        <v>78942.342424559698</v>
      </c>
      <c r="AC180" s="10">
        <v>2012</v>
      </c>
      <c r="AD180" s="10">
        <v>11</v>
      </c>
      <c r="AE180" s="10">
        <v>224.40281907155301</v>
      </c>
      <c r="AG180" s="10">
        <v>2012</v>
      </c>
      <c r="AH180" s="10">
        <v>11</v>
      </c>
      <c r="AI180" s="10">
        <v>224.393234392294</v>
      </c>
      <c r="AK180" s="10">
        <v>2012</v>
      </c>
      <c r="AL180" s="10">
        <v>11</v>
      </c>
      <c r="AM180" s="10">
        <v>224.40075513596901</v>
      </c>
      <c r="AO180" s="10">
        <v>2012</v>
      </c>
      <c r="AP180" s="10">
        <v>11</v>
      </c>
      <c r="AQ180" s="10">
        <v>224.40050172525901</v>
      </c>
      <c r="AS180" s="10">
        <v>2012</v>
      </c>
      <c r="AT180" s="10">
        <v>11</v>
      </c>
      <c r="AU180" s="10">
        <v>224.44476334795499</v>
      </c>
      <c r="AW180" s="10">
        <v>2012</v>
      </c>
      <c r="AX180" s="10">
        <v>11</v>
      </c>
      <c r="AY180" s="10">
        <v>224.44266666783099</v>
      </c>
    </row>
    <row r="181" spans="1:51" x14ac:dyDescent="0.25">
      <c r="A181" s="8">
        <v>2012</v>
      </c>
      <c r="B181" s="8">
        <v>12</v>
      </c>
      <c r="C181" s="10">
        <v>225.980916190286</v>
      </c>
      <c r="E181" s="10">
        <v>2012</v>
      </c>
      <c r="F181" s="10">
        <v>12</v>
      </c>
      <c r="G181" s="10">
        <v>225.30693113715901</v>
      </c>
      <c r="I181" s="10">
        <v>2012</v>
      </c>
      <c r="J181" s="10">
        <v>12</v>
      </c>
      <c r="K181" s="10">
        <v>225.30049571163801</v>
      </c>
      <c r="M181" s="10">
        <v>2012</v>
      </c>
      <c r="N181" s="10">
        <v>12</v>
      </c>
      <c r="O181" s="10">
        <v>225.34133751443099</v>
      </c>
      <c r="Q181" s="10">
        <v>2012</v>
      </c>
      <c r="R181" s="10">
        <v>12</v>
      </c>
      <c r="S181" s="10">
        <v>225.38259580654599</v>
      </c>
      <c r="U181" s="10">
        <v>2012</v>
      </c>
      <c r="V181" s="10">
        <v>12</v>
      </c>
      <c r="W181" s="10">
        <v>225.44557167983299</v>
      </c>
      <c r="Y181" s="17">
        <v>2017</v>
      </c>
      <c r="Z181" s="17">
        <v>12</v>
      </c>
      <c r="AA181" s="17">
        <v>80164.890219982393</v>
      </c>
      <c r="AC181" s="10">
        <v>2012</v>
      </c>
      <c r="AD181" s="10">
        <v>12</v>
      </c>
      <c r="AE181" s="10">
        <v>225.44049496843601</v>
      </c>
      <c r="AG181" s="10">
        <v>2012</v>
      </c>
      <c r="AH181" s="10">
        <v>12</v>
      </c>
      <c r="AI181" s="10">
        <v>225.48040215643701</v>
      </c>
      <c r="AK181" s="10">
        <v>2012</v>
      </c>
      <c r="AL181" s="10">
        <v>12</v>
      </c>
      <c r="AM181" s="10">
        <v>225.43668992911901</v>
      </c>
      <c r="AO181" s="10">
        <v>2012</v>
      </c>
      <c r="AP181" s="10">
        <v>12</v>
      </c>
      <c r="AQ181" s="10">
        <v>225.49921212184699</v>
      </c>
      <c r="AS181" s="10">
        <v>2012</v>
      </c>
      <c r="AT181" s="10">
        <v>12</v>
      </c>
      <c r="AU181" s="10">
        <v>225.51135421223401</v>
      </c>
      <c r="AW181" s="10">
        <v>2012</v>
      </c>
      <c r="AX181" s="10">
        <v>12</v>
      </c>
      <c r="AY181" s="10">
        <v>225.513881273913</v>
      </c>
    </row>
    <row r="182" spans="1:51" x14ac:dyDescent="0.25">
      <c r="A182" s="8">
        <v>2013</v>
      </c>
      <c r="B182" s="8">
        <v>1</v>
      </c>
      <c r="C182" s="10">
        <v>231.83697304872899</v>
      </c>
      <c r="E182" s="10">
        <v>2013</v>
      </c>
      <c r="F182" s="10">
        <v>1</v>
      </c>
      <c r="G182" s="10">
        <v>231.456668631447</v>
      </c>
      <c r="I182" s="10">
        <v>2013</v>
      </c>
      <c r="J182" s="10">
        <v>1</v>
      </c>
      <c r="K182" s="10">
        <v>231.46291767403599</v>
      </c>
      <c r="M182" s="10">
        <v>2013</v>
      </c>
      <c r="N182" s="10">
        <v>1</v>
      </c>
      <c r="O182" s="10">
        <v>231.43038855985299</v>
      </c>
      <c r="Q182" s="10">
        <v>2013</v>
      </c>
      <c r="R182" s="10">
        <v>1</v>
      </c>
      <c r="S182" s="10">
        <v>231.39960093810399</v>
      </c>
      <c r="U182" s="10">
        <v>2013</v>
      </c>
      <c r="V182" s="10">
        <v>1</v>
      </c>
      <c r="W182" s="10">
        <v>231.349808904962</v>
      </c>
      <c r="Y182" s="17">
        <v>2018</v>
      </c>
      <c r="Z182" s="17">
        <v>1</v>
      </c>
      <c r="AA182" s="17">
        <v>81258.457850613006</v>
      </c>
      <c r="AC182" s="10">
        <v>2013</v>
      </c>
      <c r="AD182" s="10">
        <v>1</v>
      </c>
      <c r="AE182" s="10">
        <v>231.35504437578501</v>
      </c>
      <c r="AG182" s="10">
        <v>2013</v>
      </c>
      <c r="AH182" s="10">
        <v>1</v>
      </c>
      <c r="AI182" s="10">
        <v>231.334162851809</v>
      </c>
      <c r="AK182" s="10">
        <v>2013</v>
      </c>
      <c r="AL182" s="10">
        <v>1</v>
      </c>
      <c r="AM182" s="10">
        <v>231.36041423766301</v>
      </c>
      <c r="AO182" s="10">
        <v>2013</v>
      </c>
      <c r="AP182" s="10">
        <v>1</v>
      </c>
      <c r="AQ182" s="10">
        <v>231.32355817561199</v>
      </c>
      <c r="AS182" s="10">
        <v>2013</v>
      </c>
      <c r="AT182" s="10">
        <v>1</v>
      </c>
      <c r="AU182" s="10">
        <v>231.38766845349701</v>
      </c>
      <c r="AW182" s="10">
        <v>2013</v>
      </c>
      <c r="AX182" s="10">
        <v>1</v>
      </c>
      <c r="AY182" s="10">
        <v>231.385527903575</v>
      </c>
    </row>
    <row r="183" spans="1:51" x14ac:dyDescent="0.25">
      <c r="A183" s="8">
        <v>2013</v>
      </c>
      <c r="B183" s="8">
        <v>2</v>
      </c>
      <c r="C183" s="10">
        <v>236.33787565467</v>
      </c>
      <c r="E183" s="10">
        <v>2013</v>
      </c>
      <c r="F183" s="10">
        <v>2</v>
      </c>
      <c r="G183" s="10">
        <v>236.612278482302</v>
      </c>
      <c r="I183" s="10">
        <v>2013</v>
      </c>
      <c r="J183" s="10">
        <v>2</v>
      </c>
      <c r="K183" s="10">
        <v>236.60859416115099</v>
      </c>
      <c r="M183" s="10">
        <v>2013</v>
      </c>
      <c r="N183" s="10">
        <v>2</v>
      </c>
      <c r="O183" s="10">
        <v>236.61985536020501</v>
      </c>
      <c r="Q183" s="10">
        <v>2013</v>
      </c>
      <c r="R183" s="10">
        <v>2</v>
      </c>
      <c r="S183" s="10">
        <v>236.613542481433</v>
      </c>
      <c r="U183" s="10">
        <v>2013</v>
      </c>
      <c r="V183" s="10">
        <v>2</v>
      </c>
      <c r="W183" s="10">
        <v>236.676983121039</v>
      </c>
      <c r="Y183" s="17">
        <v>2018</v>
      </c>
      <c r="Z183" s="17">
        <v>2</v>
      </c>
      <c r="AA183" s="17">
        <v>82333.218613127799</v>
      </c>
      <c r="AC183" s="10">
        <v>2013</v>
      </c>
      <c r="AD183" s="10">
        <v>2</v>
      </c>
      <c r="AE183" s="10">
        <v>236.67728888016401</v>
      </c>
      <c r="AG183" s="10">
        <v>2013</v>
      </c>
      <c r="AH183" s="10">
        <v>2</v>
      </c>
      <c r="AI183" s="10">
        <v>236.691622847986</v>
      </c>
      <c r="AK183" s="10">
        <v>2013</v>
      </c>
      <c r="AL183" s="10">
        <v>2</v>
      </c>
      <c r="AM183" s="10">
        <v>236.68313051716501</v>
      </c>
      <c r="AO183" s="10">
        <v>2013</v>
      </c>
      <c r="AP183" s="10">
        <v>2</v>
      </c>
      <c r="AQ183" s="10">
        <v>236.69406270441101</v>
      </c>
      <c r="AS183" s="10">
        <v>2013</v>
      </c>
      <c r="AT183" s="10">
        <v>2</v>
      </c>
      <c r="AU183" s="10">
        <v>236.963101887704</v>
      </c>
      <c r="AW183" s="10">
        <v>2013</v>
      </c>
      <c r="AX183" s="10">
        <v>2</v>
      </c>
      <c r="AY183" s="10">
        <v>237.00206319973</v>
      </c>
    </row>
    <row r="184" spans="1:51" x14ac:dyDescent="0.25">
      <c r="A184" s="8">
        <v>2013</v>
      </c>
      <c r="B184" s="8">
        <v>3</v>
      </c>
      <c r="C184" s="10">
        <v>232.99344997592999</v>
      </c>
      <c r="E184" s="10">
        <v>2013</v>
      </c>
      <c r="F184" s="10">
        <v>3</v>
      </c>
      <c r="G184" s="10">
        <v>232.32798894046701</v>
      </c>
      <c r="I184" s="10">
        <v>2013</v>
      </c>
      <c r="J184" s="10">
        <v>3</v>
      </c>
      <c r="K184" s="10">
        <v>232.30635476758201</v>
      </c>
      <c r="M184" s="10">
        <v>2013</v>
      </c>
      <c r="N184" s="10">
        <v>3</v>
      </c>
      <c r="O184" s="10">
        <v>232.34215188622301</v>
      </c>
      <c r="Q184" s="10">
        <v>2013</v>
      </c>
      <c r="R184" s="10">
        <v>3</v>
      </c>
      <c r="S184" s="10">
        <v>232.24174283393901</v>
      </c>
      <c r="U184" s="10">
        <v>2013</v>
      </c>
      <c r="V184" s="10">
        <v>3</v>
      </c>
      <c r="W184" s="10">
        <v>232.047626435458</v>
      </c>
      <c r="Y184" s="17">
        <v>2018</v>
      </c>
      <c r="Z184" s="17">
        <v>3</v>
      </c>
      <c r="AA184" s="17">
        <v>83310.460118544099</v>
      </c>
      <c r="AC184" s="10">
        <v>2013</v>
      </c>
      <c r="AD184" s="10">
        <v>3</v>
      </c>
      <c r="AE184" s="10">
        <v>232.054993290608</v>
      </c>
      <c r="AG184" s="10">
        <v>2013</v>
      </c>
      <c r="AH184" s="10">
        <v>3</v>
      </c>
      <c r="AI184" s="10">
        <v>232.09352264772099</v>
      </c>
      <c r="AK184" s="10">
        <v>2013</v>
      </c>
      <c r="AL184" s="10">
        <v>3</v>
      </c>
      <c r="AM184" s="10">
        <v>232.06313361795901</v>
      </c>
      <c r="AO184" s="10">
        <v>2013</v>
      </c>
      <c r="AP184" s="10">
        <v>3</v>
      </c>
      <c r="AQ184" s="10">
        <v>232.10420508214099</v>
      </c>
      <c r="AS184" s="10">
        <v>2013</v>
      </c>
      <c r="AT184" s="10">
        <v>3</v>
      </c>
      <c r="AU184" s="10">
        <v>232.104758009926</v>
      </c>
      <c r="AW184" s="10">
        <v>2013</v>
      </c>
      <c r="AX184" s="10">
        <v>3</v>
      </c>
      <c r="AY184" s="10">
        <v>232.10867088172</v>
      </c>
    </row>
    <row r="185" spans="1:51" x14ac:dyDescent="0.25">
      <c r="A185" s="8">
        <v>2013</v>
      </c>
      <c r="B185" s="8">
        <v>4</v>
      </c>
      <c r="C185" s="10">
        <v>235.20744472136599</v>
      </c>
      <c r="E185" s="10">
        <v>2013</v>
      </c>
      <c r="F185" s="10">
        <v>4</v>
      </c>
      <c r="G185" s="10">
        <v>236.64214102846901</v>
      </c>
      <c r="I185" s="10">
        <v>2013</v>
      </c>
      <c r="J185" s="10">
        <v>4</v>
      </c>
      <c r="K185" s="10">
        <v>236.66011748790501</v>
      </c>
      <c r="M185" s="10">
        <v>2013</v>
      </c>
      <c r="N185" s="10">
        <v>4</v>
      </c>
      <c r="O185" s="10">
        <v>236.659178993626</v>
      </c>
      <c r="Q185" s="10">
        <v>2013</v>
      </c>
      <c r="R185" s="10">
        <v>4</v>
      </c>
      <c r="S185" s="10">
        <v>236.79970896084899</v>
      </c>
      <c r="U185" s="10">
        <v>2013</v>
      </c>
      <c r="V185" s="10">
        <v>4</v>
      </c>
      <c r="W185" s="10">
        <v>237.047302245525</v>
      </c>
      <c r="Y185" s="17">
        <v>2018</v>
      </c>
      <c r="Z185" s="17">
        <v>4</v>
      </c>
      <c r="AA185" s="17">
        <v>84107.520132641905</v>
      </c>
      <c r="AC185" s="10">
        <v>2013</v>
      </c>
      <c r="AD185" s="10">
        <v>4</v>
      </c>
      <c r="AE185" s="10">
        <v>237.03440055217601</v>
      </c>
      <c r="AG185" s="10">
        <v>2013</v>
      </c>
      <c r="AH185" s="10">
        <v>4</v>
      </c>
      <c r="AI185" s="10">
        <v>237.037613311401</v>
      </c>
      <c r="AK185" s="10">
        <v>2013</v>
      </c>
      <c r="AL185" s="10">
        <v>4</v>
      </c>
      <c r="AM185" s="10">
        <v>237.03789771228199</v>
      </c>
      <c r="AO185" s="10">
        <v>2013</v>
      </c>
      <c r="AP185" s="10">
        <v>4</v>
      </c>
      <c r="AQ185" s="10">
        <v>237.036386135491</v>
      </c>
      <c r="AS185" s="10">
        <v>2013</v>
      </c>
      <c r="AT185" s="10">
        <v>4</v>
      </c>
      <c r="AU185" s="10">
        <v>237.04491795191501</v>
      </c>
      <c r="AW185" s="10">
        <v>2013</v>
      </c>
      <c r="AX185" s="10">
        <v>4</v>
      </c>
      <c r="AY185" s="10">
        <v>237.04279509414201</v>
      </c>
    </row>
    <row r="186" spans="1:51" x14ac:dyDescent="0.25">
      <c r="A186" s="8">
        <v>2013</v>
      </c>
      <c r="B186" s="8">
        <v>5</v>
      </c>
      <c r="C186" s="10">
        <v>231.20607657376701</v>
      </c>
      <c r="E186" s="10">
        <v>2013</v>
      </c>
      <c r="F186" s="10">
        <v>5</v>
      </c>
      <c r="G186" s="10">
        <v>230.880349424445</v>
      </c>
      <c r="I186" s="10">
        <v>2013</v>
      </c>
      <c r="J186" s="10">
        <v>5</v>
      </c>
      <c r="K186" s="10">
        <v>230.88449228337601</v>
      </c>
      <c r="M186" s="10">
        <v>2013</v>
      </c>
      <c r="N186" s="10">
        <v>5</v>
      </c>
      <c r="O186" s="10">
        <v>230.864791836504</v>
      </c>
      <c r="Q186" s="10">
        <v>2013</v>
      </c>
      <c r="R186" s="10">
        <v>5</v>
      </c>
      <c r="S186" s="10">
        <v>230.83535060765999</v>
      </c>
      <c r="U186" s="10">
        <v>2013</v>
      </c>
      <c r="V186" s="10">
        <v>5</v>
      </c>
      <c r="W186" s="10">
        <v>230.774847274595</v>
      </c>
      <c r="Y186" s="17">
        <v>2018</v>
      </c>
      <c r="Z186" s="17">
        <v>5</v>
      </c>
      <c r="AA186" s="17">
        <v>84280.893642016905</v>
      </c>
      <c r="AC186" s="10">
        <v>2013</v>
      </c>
      <c r="AD186" s="10">
        <v>5</v>
      </c>
      <c r="AE186" s="10">
        <v>230.77691374943799</v>
      </c>
      <c r="AG186" s="10">
        <v>2013</v>
      </c>
      <c r="AH186" s="10">
        <v>5</v>
      </c>
      <c r="AI186" s="10">
        <v>230.793878349095</v>
      </c>
      <c r="AK186" s="10">
        <v>2013</v>
      </c>
      <c r="AL186" s="10">
        <v>5</v>
      </c>
      <c r="AM186" s="10">
        <v>230.81313159476599</v>
      </c>
      <c r="AO186" s="10">
        <v>2013</v>
      </c>
      <c r="AP186" s="10">
        <v>5</v>
      </c>
      <c r="AQ186" s="10">
        <v>230.73715694264499</v>
      </c>
      <c r="AS186" s="10">
        <v>2013</v>
      </c>
      <c r="AT186" s="10">
        <v>5</v>
      </c>
      <c r="AU186" s="10">
        <v>230.82231278568099</v>
      </c>
      <c r="AW186" s="10">
        <v>2013</v>
      </c>
      <c r="AX186" s="10">
        <v>5</v>
      </c>
      <c r="AY186" s="10">
        <v>230.82392705615101</v>
      </c>
    </row>
    <row r="187" spans="1:51" x14ac:dyDescent="0.25">
      <c r="A187" s="8">
        <v>2013</v>
      </c>
      <c r="B187" s="8">
        <v>6</v>
      </c>
      <c r="C187" s="10">
        <v>236.99339920077301</v>
      </c>
      <c r="E187" s="10">
        <v>2013</v>
      </c>
      <c r="F187" s="10">
        <v>6</v>
      </c>
      <c r="G187" s="10">
        <v>238.320282327755</v>
      </c>
      <c r="I187" s="10">
        <v>2013</v>
      </c>
      <c r="J187" s="10">
        <v>6</v>
      </c>
      <c r="K187" s="10">
        <v>238.31057571474</v>
      </c>
      <c r="M187" s="10">
        <v>2013</v>
      </c>
      <c r="N187" s="10">
        <v>6</v>
      </c>
      <c r="O187" s="10">
        <v>238.37124224658299</v>
      </c>
      <c r="Q187" s="10">
        <v>2013</v>
      </c>
      <c r="R187" s="10">
        <v>6</v>
      </c>
      <c r="S187" s="10">
        <v>238.43930378753899</v>
      </c>
      <c r="U187" s="10">
        <v>2013</v>
      </c>
      <c r="V187" s="10">
        <v>6</v>
      </c>
      <c r="W187" s="10">
        <v>238.64583947275599</v>
      </c>
      <c r="Y187" s="17">
        <v>2018</v>
      </c>
      <c r="Z187" s="17">
        <v>6</v>
      </c>
      <c r="AA187" s="17">
        <v>82927.106460600597</v>
      </c>
      <c r="AC187" s="10">
        <v>2013</v>
      </c>
      <c r="AD187" s="10">
        <v>6</v>
      </c>
      <c r="AE187" s="10">
        <v>238.63668545117201</v>
      </c>
      <c r="AG187" s="10">
        <v>2013</v>
      </c>
      <c r="AH187" s="10">
        <v>6</v>
      </c>
      <c r="AI187" s="10">
        <v>238.580954350952</v>
      </c>
      <c r="AK187" s="10">
        <v>2013</v>
      </c>
      <c r="AL187" s="10">
        <v>6</v>
      </c>
      <c r="AM187" s="10">
        <v>238.52668505144399</v>
      </c>
      <c r="AO187" s="10">
        <v>2013</v>
      </c>
      <c r="AP187" s="10">
        <v>6</v>
      </c>
      <c r="AQ187" s="10">
        <v>238.64201734152701</v>
      </c>
      <c r="AS187" s="10">
        <v>2013</v>
      </c>
      <c r="AT187" s="10">
        <v>6</v>
      </c>
      <c r="AU187" s="10">
        <v>238.540799112217</v>
      </c>
      <c r="AW187" s="10">
        <v>2013</v>
      </c>
      <c r="AX187" s="10">
        <v>6</v>
      </c>
      <c r="AY187" s="10">
        <v>238.54291616299901</v>
      </c>
    </row>
    <row r="188" spans="1:51" x14ac:dyDescent="0.25">
      <c r="A188" s="8">
        <v>2013</v>
      </c>
      <c r="B188" s="8">
        <v>7</v>
      </c>
      <c r="C188" s="10">
        <v>240.32015607559501</v>
      </c>
      <c r="E188" s="10">
        <v>2013</v>
      </c>
      <c r="F188" s="10">
        <v>7</v>
      </c>
      <c r="G188" s="10">
        <v>239.927674478429</v>
      </c>
      <c r="I188" s="10">
        <v>2013</v>
      </c>
      <c r="J188" s="10">
        <v>7</v>
      </c>
      <c r="K188" s="10">
        <v>239.932569008332</v>
      </c>
      <c r="M188" s="10">
        <v>2013</v>
      </c>
      <c r="N188" s="10">
        <v>7</v>
      </c>
      <c r="O188" s="10">
        <v>239.90505260733201</v>
      </c>
      <c r="Q188" s="10">
        <v>2013</v>
      </c>
      <c r="R188" s="10">
        <v>7</v>
      </c>
      <c r="S188" s="10">
        <v>239.87216294515801</v>
      </c>
      <c r="U188" s="10">
        <v>2013</v>
      </c>
      <c r="V188" s="10">
        <v>7</v>
      </c>
      <c r="W188" s="10">
        <v>239.819424890215</v>
      </c>
      <c r="Y188" s="17">
        <v>2018</v>
      </c>
      <c r="Z188" s="17">
        <v>7</v>
      </c>
      <c r="AA188" s="17">
        <v>81143.814150766397</v>
      </c>
      <c r="AC188" s="10">
        <v>2013</v>
      </c>
      <c r="AD188" s="10">
        <v>7</v>
      </c>
      <c r="AE188" s="10">
        <v>239.82259820135101</v>
      </c>
      <c r="AG188" s="10">
        <v>2013</v>
      </c>
      <c r="AH188" s="10">
        <v>7</v>
      </c>
      <c r="AI188" s="10">
        <v>239.80834442073399</v>
      </c>
      <c r="AK188" s="10">
        <v>2013</v>
      </c>
      <c r="AL188" s="10">
        <v>7</v>
      </c>
      <c r="AM188" s="10">
        <v>239.83546337880401</v>
      </c>
      <c r="AO188" s="10">
        <v>2013</v>
      </c>
      <c r="AP188" s="10">
        <v>7</v>
      </c>
      <c r="AQ188" s="10">
        <v>239.80677297068499</v>
      </c>
      <c r="AS188" s="10">
        <v>2013</v>
      </c>
      <c r="AT188" s="10">
        <v>7</v>
      </c>
      <c r="AU188" s="10">
        <v>239.81520006626101</v>
      </c>
      <c r="AW188" s="10">
        <v>2013</v>
      </c>
      <c r="AX188" s="10">
        <v>7</v>
      </c>
      <c r="AY188" s="10">
        <v>239.81377992568201</v>
      </c>
    </row>
    <row r="189" spans="1:51" x14ac:dyDescent="0.25">
      <c r="A189" s="8">
        <v>2013</v>
      </c>
      <c r="B189" s="8">
        <v>8</v>
      </c>
      <c r="C189" s="10">
        <v>234.962371934868</v>
      </c>
      <c r="E189" s="10">
        <v>2013</v>
      </c>
      <c r="F189" s="10">
        <v>8</v>
      </c>
      <c r="G189" s="10">
        <v>234.528460721801</v>
      </c>
      <c r="I189" s="10">
        <v>2013</v>
      </c>
      <c r="J189" s="10">
        <v>8</v>
      </c>
      <c r="K189" s="10">
        <v>234.530214306826</v>
      </c>
      <c r="M189" s="10">
        <v>2013</v>
      </c>
      <c r="N189" s="10">
        <v>8</v>
      </c>
      <c r="O189" s="10">
        <v>234.496009356185</v>
      </c>
      <c r="Q189" s="10">
        <v>2013</v>
      </c>
      <c r="R189" s="10">
        <v>8</v>
      </c>
      <c r="S189" s="10">
        <v>234.47050848313299</v>
      </c>
      <c r="U189" s="10">
        <v>2013</v>
      </c>
      <c r="V189" s="10">
        <v>8</v>
      </c>
      <c r="W189" s="10">
        <v>234.38200665222899</v>
      </c>
      <c r="Y189" s="17">
        <v>2018</v>
      </c>
      <c r="Z189" s="17">
        <v>8</v>
      </c>
      <c r="AA189" s="17">
        <v>78582.877067228605</v>
      </c>
      <c r="AC189" s="10">
        <v>2013</v>
      </c>
      <c r="AD189" s="10">
        <v>8</v>
      </c>
      <c r="AE189" s="10">
        <v>234.38672566845599</v>
      </c>
      <c r="AG189" s="10">
        <v>2013</v>
      </c>
      <c r="AH189" s="10">
        <v>8</v>
      </c>
      <c r="AI189" s="10">
        <v>234.38243446572301</v>
      </c>
      <c r="AK189" s="10">
        <v>2013</v>
      </c>
      <c r="AL189" s="10">
        <v>8</v>
      </c>
      <c r="AM189" s="10">
        <v>234.416128976062</v>
      </c>
      <c r="AO189" s="10">
        <v>2013</v>
      </c>
      <c r="AP189" s="10">
        <v>8</v>
      </c>
      <c r="AQ189" s="10">
        <v>234.35053373944299</v>
      </c>
      <c r="AS189" s="10">
        <v>2013</v>
      </c>
      <c r="AT189" s="10">
        <v>8</v>
      </c>
      <c r="AU189" s="10">
        <v>234.207130505572</v>
      </c>
      <c r="AW189" s="10">
        <v>2013</v>
      </c>
      <c r="AX189" s="10">
        <v>8</v>
      </c>
      <c r="AY189" s="10">
        <v>234.20340340358501</v>
      </c>
    </row>
    <row r="190" spans="1:51" x14ac:dyDescent="0.25">
      <c r="A190" s="8">
        <v>2013</v>
      </c>
      <c r="B190" s="8">
        <v>9</v>
      </c>
      <c r="C190" s="10">
        <v>237.080683952962</v>
      </c>
      <c r="E190" s="10">
        <v>2013</v>
      </c>
      <c r="F190" s="10">
        <v>9</v>
      </c>
      <c r="G190" s="10">
        <v>237.51660267979699</v>
      </c>
      <c r="I190" s="10">
        <v>2013</v>
      </c>
      <c r="J190" s="10">
        <v>9</v>
      </c>
      <c r="K190" s="10">
        <v>237.51659722043101</v>
      </c>
      <c r="M190" s="10">
        <v>2013</v>
      </c>
      <c r="N190" s="10">
        <v>9</v>
      </c>
      <c r="O190" s="10">
        <v>237.50952230842199</v>
      </c>
      <c r="Q190" s="10">
        <v>2013</v>
      </c>
      <c r="R190" s="10">
        <v>9</v>
      </c>
      <c r="S190" s="10">
        <v>237.49423675243699</v>
      </c>
      <c r="U190" s="10">
        <v>2013</v>
      </c>
      <c r="V190" s="10">
        <v>9</v>
      </c>
      <c r="W190" s="10">
        <v>237.451909088447</v>
      </c>
      <c r="Y190" s="17">
        <v>2018</v>
      </c>
      <c r="Z190" s="17">
        <v>9</v>
      </c>
      <c r="AA190" s="17">
        <v>74770.581799616106</v>
      </c>
      <c r="AC190" s="10">
        <v>2013</v>
      </c>
      <c r="AD190" s="10">
        <v>9</v>
      </c>
      <c r="AE190" s="10">
        <v>237.45230610775201</v>
      </c>
      <c r="AG190" s="10">
        <v>2013</v>
      </c>
      <c r="AH190" s="10">
        <v>9</v>
      </c>
      <c r="AI190" s="10">
        <v>237.453333162365</v>
      </c>
      <c r="AK190" s="10">
        <v>2013</v>
      </c>
      <c r="AL190" s="10">
        <v>9</v>
      </c>
      <c r="AM190" s="10">
        <v>237.47178791917801</v>
      </c>
      <c r="AO190" s="10">
        <v>2013</v>
      </c>
      <c r="AP190" s="10">
        <v>9</v>
      </c>
      <c r="AQ190" s="10">
        <v>237.40639091927099</v>
      </c>
      <c r="AS190" s="10">
        <v>2013</v>
      </c>
      <c r="AT190" s="10">
        <v>9</v>
      </c>
      <c r="AU190" s="10">
        <v>237.46181346130101</v>
      </c>
      <c r="AW190" s="10">
        <v>2013</v>
      </c>
      <c r="AX190" s="10">
        <v>9</v>
      </c>
      <c r="AY190" s="10">
        <v>237.460868487646</v>
      </c>
    </row>
    <row r="191" spans="1:51" x14ac:dyDescent="0.25">
      <c r="A191" s="8">
        <v>2013</v>
      </c>
      <c r="B191" s="8">
        <v>10</v>
      </c>
      <c r="C191" s="10">
        <v>240.629204476692</v>
      </c>
      <c r="E191" s="10">
        <v>2013</v>
      </c>
      <c r="F191" s="10">
        <v>10</v>
      </c>
      <c r="G191" s="10">
        <v>240.39546941011201</v>
      </c>
      <c r="I191" s="10">
        <v>2013</v>
      </c>
      <c r="J191" s="10">
        <v>10</v>
      </c>
      <c r="K191" s="10">
        <v>240.399098119733</v>
      </c>
      <c r="M191" s="10">
        <v>2013</v>
      </c>
      <c r="N191" s="10">
        <v>10</v>
      </c>
      <c r="O191" s="10">
        <v>240.37674731176699</v>
      </c>
      <c r="Q191" s="10">
        <v>2013</v>
      </c>
      <c r="R191" s="10">
        <v>10</v>
      </c>
      <c r="S191" s="10">
        <v>240.35162599911499</v>
      </c>
      <c r="U191" s="10">
        <v>2013</v>
      </c>
      <c r="V191" s="10">
        <v>10</v>
      </c>
      <c r="W191" s="10">
        <v>240.31556027343601</v>
      </c>
      <c r="Y191" s="17">
        <v>2018</v>
      </c>
      <c r="Z191" s="17">
        <v>10</v>
      </c>
      <c r="AA191" s="17">
        <v>69959.287459429193</v>
      </c>
      <c r="AC191" s="10">
        <v>2013</v>
      </c>
      <c r="AD191" s="10">
        <v>10</v>
      </c>
      <c r="AE191" s="10">
        <v>240.319379112462</v>
      </c>
      <c r="AG191" s="10">
        <v>2013</v>
      </c>
      <c r="AH191" s="10">
        <v>10</v>
      </c>
      <c r="AI191" s="10">
        <v>240.301874746111</v>
      </c>
      <c r="AK191" s="10">
        <v>2013</v>
      </c>
      <c r="AL191" s="10">
        <v>10</v>
      </c>
      <c r="AM191" s="10">
        <v>240.318477394083</v>
      </c>
      <c r="AO191" s="10">
        <v>2013</v>
      </c>
      <c r="AP191" s="10">
        <v>10</v>
      </c>
      <c r="AQ191" s="10">
        <v>240.31713508271599</v>
      </c>
      <c r="AS191" s="10">
        <v>2013</v>
      </c>
      <c r="AT191" s="10">
        <v>10</v>
      </c>
      <c r="AU191" s="10">
        <v>240.331676243592</v>
      </c>
      <c r="AW191" s="10">
        <v>2013</v>
      </c>
      <c r="AX191" s="10">
        <v>10</v>
      </c>
      <c r="AY191" s="10">
        <v>240.33014448321799</v>
      </c>
    </row>
    <row r="192" spans="1:51" x14ac:dyDescent="0.25">
      <c r="A192" s="8">
        <v>2013</v>
      </c>
      <c r="B192" s="8">
        <v>11</v>
      </c>
      <c r="C192" s="10">
        <v>230.02401919896101</v>
      </c>
      <c r="E192" s="10">
        <v>2013</v>
      </c>
      <c r="F192" s="10">
        <v>11</v>
      </c>
      <c r="G192" s="10">
        <v>230.54041213606399</v>
      </c>
      <c r="I192" s="10">
        <v>2013</v>
      </c>
      <c r="J192" s="10">
        <v>11</v>
      </c>
      <c r="K192" s="10">
        <v>230.53551579067701</v>
      </c>
      <c r="M192" s="10">
        <v>2013</v>
      </c>
      <c r="N192" s="10">
        <v>11</v>
      </c>
      <c r="O192" s="10">
        <v>230.56589535588699</v>
      </c>
      <c r="Q192" s="10">
        <v>2013</v>
      </c>
      <c r="R192" s="10">
        <v>11</v>
      </c>
      <c r="S192" s="10">
        <v>230.598005589027</v>
      </c>
      <c r="U192" s="10">
        <v>2013</v>
      </c>
      <c r="V192" s="10">
        <v>11</v>
      </c>
      <c r="W192" s="10">
        <v>230.64309250423199</v>
      </c>
      <c r="Y192" s="17">
        <v>2018</v>
      </c>
      <c r="Z192" s="17">
        <v>11</v>
      </c>
      <c r="AA192" s="17">
        <v>67141.598096298199</v>
      </c>
      <c r="AC192" s="10">
        <v>2013</v>
      </c>
      <c r="AD192" s="10">
        <v>11</v>
      </c>
      <c r="AE192" s="10">
        <v>230.63920165324299</v>
      </c>
      <c r="AG192" s="10">
        <v>2013</v>
      </c>
      <c r="AH192" s="10">
        <v>11</v>
      </c>
      <c r="AI192" s="10">
        <v>230.66417634593901</v>
      </c>
      <c r="AK192" s="10">
        <v>2013</v>
      </c>
      <c r="AL192" s="10">
        <v>11</v>
      </c>
      <c r="AM192" s="10">
        <v>230.63312209152801</v>
      </c>
      <c r="AO192" s="10">
        <v>2013</v>
      </c>
      <c r="AP192" s="10">
        <v>11</v>
      </c>
      <c r="AQ192" s="10">
        <v>230.69493011162999</v>
      </c>
      <c r="AS192" s="10">
        <v>2013</v>
      </c>
      <c r="AT192" s="10">
        <v>11</v>
      </c>
      <c r="AU192" s="10">
        <v>230.66360286607599</v>
      </c>
      <c r="AW192" s="10">
        <v>2013</v>
      </c>
      <c r="AX192" s="10">
        <v>11</v>
      </c>
      <c r="AY192" s="10">
        <v>230.66318017691501</v>
      </c>
    </row>
    <row r="193" spans="1:51" x14ac:dyDescent="0.25">
      <c r="A193" s="8">
        <v>2013</v>
      </c>
      <c r="B193" s="8">
        <v>12</v>
      </c>
      <c r="C193" s="10">
        <v>234.091800260117</v>
      </c>
      <c r="E193" s="10">
        <v>2013</v>
      </c>
      <c r="F193" s="10">
        <v>12</v>
      </c>
      <c r="G193" s="10">
        <v>231.95719677453599</v>
      </c>
      <c r="I193" s="10">
        <v>2013</v>
      </c>
      <c r="J193" s="10">
        <v>12</v>
      </c>
      <c r="K193" s="10">
        <v>231.95877042675801</v>
      </c>
      <c r="M193" s="10">
        <v>2013</v>
      </c>
      <c r="N193" s="10">
        <v>12</v>
      </c>
      <c r="O193" s="10">
        <v>231.94991471402</v>
      </c>
      <c r="Q193" s="10">
        <v>2013</v>
      </c>
      <c r="R193" s="10">
        <v>12</v>
      </c>
      <c r="S193" s="10">
        <v>231.94515691466299</v>
      </c>
      <c r="U193" s="10">
        <v>2013</v>
      </c>
      <c r="V193" s="10">
        <v>12</v>
      </c>
      <c r="W193" s="10">
        <v>231.93049277963399</v>
      </c>
      <c r="Y193" s="17">
        <v>2018</v>
      </c>
      <c r="Z193" s="17">
        <v>12</v>
      </c>
      <c r="AA193" s="17">
        <v>64748.251655218497</v>
      </c>
      <c r="AC193" s="10">
        <v>2013</v>
      </c>
      <c r="AD193" s="10">
        <v>12</v>
      </c>
      <c r="AE193" s="10">
        <v>231.931854804951</v>
      </c>
      <c r="AG193" s="10">
        <v>2013</v>
      </c>
      <c r="AH193" s="10">
        <v>12</v>
      </c>
      <c r="AI193" s="10">
        <v>231.944408631313</v>
      </c>
      <c r="AK193" s="10">
        <v>2013</v>
      </c>
      <c r="AL193" s="10">
        <v>12</v>
      </c>
      <c r="AM193" s="10">
        <v>231.934858905672</v>
      </c>
      <c r="AO193" s="10">
        <v>2013</v>
      </c>
      <c r="AP193" s="10">
        <v>12</v>
      </c>
      <c r="AQ193" s="10">
        <v>231.94516274535499</v>
      </c>
      <c r="AS193" s="10">
        <v>2013</v>
      </c>
      <c r="AT193" s="10">
        <v>12</v>
      </c>
      <c r="AU193" s="10">
        <v>231.977895448016</v>
      </c>
      <c r="AW193" s="10">
        <v>2013</v>
      </c>
      <c r="AX193" s="10">
        <v>12</v>
      </c>
      <c r="AY193" s="10">
        <v>231.978497974242</v>
      </c>
    </row>
    <row r="194" spans="1:51" x14ac:dyDescent="0.25">
      <c r="A194" s="8">
        <v>2014</v>
      </c>
      <c r="B194" s="8">
        <v>1</v>
      </c>
      <c r="C194" s="10">
        <v>221.561281853574</v>
      </c>
      <c r="E194" s="10">
        <v>2014</v>
      </c>
      <c r="F194" s="10">
        <v>1</v>
      </c>
      <c r="G194" s="10">
        <v>221.31394698990499</v>
      </c>
      <c r="I194" s="10">
        <v>2014</v>
      </c>
      <c r="J194" s="10">
        <v>1</v>
      </c>
      <c r="K194" s="10">
        <v>221.31942172149999</v>
      </c>
      <c r="M194" s="10">
        <v>2014</v>
      </c>
      <c r="N194" s="10">
        <v>1</v>
      </c>
      <c r="O194" s="10">
        <v>221.29075095347301</v>
      </c>
      <c r="Q194" s="10">
        <v>2014</v>
      </c>
      <c r="R194" s="10">
        <v>1</v>
      </c>
      <c r="S194" s="10">
        <v>221.26798660716199</v>
      </c>
      <c r="U194" s="10">
        <v>2014</v>
      </c>
      <c r="V194" s="10">
        <v>1</v>
      </c>
      <c r="W194" s="10">
        <v>221.22173982638299</v>
      </c>
      <c r="Y194" s="17">
        <v>2019</v>
      </c>
      <c r="Z194" s="17">
        <v>1</v>
      </c>
      <c r="AA194" s="17">
        <v>62351.564703101198</v>
      </c>
      <c r="AC194" s="10">
        <v>2014</v>
      </c>
      <c r="AD194" s="10">
        <v>1</v>
      </c>
      <c r="AE194" s="10">
        <v>221.226115577515</v>
      </c>
      <c r="AG194" s="10">
        <v>2014</v>
      </c>
      <c r="AH194" s="10">
        <v>1</v>
      </c>
      <c r="AI194" s="10">
        <v>221.208884517332</v>
      </c>
      <c r="AK194" s="10">
        <v>2014</v>
      </c>
      <c r="AL194" s="10">
        <v>1</v>
      </c>
      <c r="AM194" s="10">
        <v>221.23116541341199</v>
      </c>
      <c r="AO194" s="10">
        <v>2014</v>
      </c>
      <c r="AP194" s="10">
        <v>1</v>
      </c>
      <c r="AQ194" s="10">
        <v>221.21516999008</v>
      </c>
      <c r="AS194" s="10">
        <v>2014</v>
      </c>
      <c r="AT194" s="10">
        <v>1</v>
      </c>
      <c r="AU194" s="10">
        <v>221.24107196655501</v>
      </c>
      <c r="AW194" s="10">
        <v>2014</v>
      </c>
      <c r="AX194" s="10">
        <v>1</v>
      </c>
      <c r="AY194" s="10">
        <v>221.23838656132301</v>
      </c>
    </row>
    <row r="195" spans="1:51" x14ac:dyDescent="0.25">
      <c r="A195" s="8">
        <v>2014</v>
      </c>
      <c r="B195" s="8">
        <v>2</v>
      </c>
      <c r="C195" s="10">
        <v>221.27010686251401</v>
      </c>
      <c r="E195" s="10">
        <v>2014</v>
      </c>
      <c r="F195" s="10">
        <v>2</v>
      </c>
      <c r="G195" s="10">
        <v>221.77018714757199</v>
      </c>
      <c r="I195" s="10">
        <v>2014</v>
      </c>
      <c r="J195" s="10">
        <v>2</v>
      </c>
      <c r="K195" s="10">
        <v>221.76536302186699</v>
      </c>
      <c r="M195" s="10">
        <v>2014</v>
      </c>
      <c r="N195" s="10">
        <v>2</v>
      </c>
      <c r="O195" s="10">
        <v>221.780299229219</v>
      </c>
      <c r="Q195" s="10">
        <v>2014</v>
      </c>
      <c r="R195" s="10">
        <v>2</v>
      </c>
      <c r="S195" s="10">
        <v>221.76821491464901</v>
      </c>
      <c r="U195" s="10">
        <v>2014</v>
      </c>
      <c r="V195" s="10">
        <v>2</v>
      </c>
      <c r="W195" s="10">
        <v>221.83486916075799</v>
      </c>
      <c r="Y195" s="17">
        <v>2019</v>
      </c>
      <c r="Z195" s="17">
        <v>2</v>
      </c>
      <c r="AA195" s="17">
        <v>60575.116579712601</v>
      </c>
      <c r="AC195" s="10">
        <v>2014</v>
      </c>
      <c r="AD195" s="10">
        <v>2</v>
      </c>
      <c r="AE195" s="10">
        <v>221.834790232617</v>
      </c>
      <c r="AG195" s="10">
        <v>2014</v>
      </c>
      <c r="AH195" s="10">
        <v>2</v>
      </c>
      <c r="AI195" s="10">
        <v>221.84426052515599</v>
      </c>
      <c r="AK195" s="10">
        <v>2014</v>
      </c>
      <c r="AL195" s="10">
        <v>2</v>
      </c>
      <c r="AM195" s="10">
        <v>221.83907083726999</v>
      </c>
      <c r="AO195" s="10">
        <v>2014</v>
      </c>
      <c r="AP195" s="10">
        <v>2</v>
      </c>
      <c r="AQ195" s="10">
        <v>221.83100769339899</v>
      </c>
      <c r="AS195" s="10">
        <v>2014</v>
      </c>
      <c r="AT195" s="10">
        <v>2</v>
      </c>
      <c r="AU195" s="10">
        <v>222.12440342090099</v>
      </c>
      <c r="AW195" s="10">
        <v>2014</v>
      </c>
      <c r="AX195" s="10">
        <v>2</v>
      </c>
      <c r="AY195" s="10">
        <v>222.16637354555701</v>
      </c>
    </row>
    <row r="196" spans="1:51" x14ac:dyDescent="0.25">
      <c r="A196" s="8">
        <v>2014</v>
      </c>
      <c r="B196" s="8">
        <v>3</v>
      </c>
      <c r="C196" s="10">
        <v>220.70288001394599</v>
      </c>
      <c r="E196" s="10">
        <v>2014</v>
      </c>
      <c r="F196" s="10">
        <v>3</v>
      </c>
      <c r="G196" s="10">
        <v>222.257936826221</v>
      </c>
      <c r="I196" s="10">
        <v>2014</v>
      </c>
      <c r="J196" s="10">
        <v>3</v>
      </c>
      <c r="K196" s="10">
        <v>222.25878739437101</v>
      </c>
      <c r="M196" s="10">
        <v>2014</v>
      </c>
      <c r="N196" s="10">
        <v>3</v>
      </c>
      <c r="O196" s="10">
        <v>222.305405587167</v>
      </c>
      <c r="Q196" s="10">
        <v>2014</v>
      </c>
      <c r="R196" s="10">
        <v>3</v>
      </c>
      <c r="S196" s="10">
        <v>222.42228576098199</v>
      </c>
      <c r="U196" s="10">
        <v>2014</v>
      </c>
      <c r="V196" s="10">
        <v>3</v>
      </c>
      <c r="W196" s="10">
        <v>222.60525219575501</v>
      </c>
      <c r="Y196" s="17">
        <v>2019</v>
      </c>
      <c r="Z196" s="17">
        <v>3</v>
      </c>
      <c r="AA196" s="17">
        <v>58414.379407907101</v>
      </c>
      <c r="AC196" s="10">
        <v>2014</v>
      </c>
      <c r="AD196" s="10">
        <v>3</v>
      </c>
      <c r="AE196" s="10">
        <v>222.59319864906101</v>
      </c>
      <c r="AG196" s="10">
        <v>2014</v>
      </c>
      <c r="AH196" s="10">
        <v>3</v>
      </c>
      <c r="AI196" s="10">
        <v>222.630874274077</v>
      </c>
      <c r="AK196" s="10">
        <v>2014</v>
      </c>
      <c r="AL196" s="10">
        <v>3</v>
      </c>
      <c r="AM196" s="10">
        <v>222.591738391061</v>
      </c>
      <c r="AO196" s="10">
        <v>2014</v>
      </c>
      <c r="AP196" s="10">
        <v>3</v>
      </c>
      <c r="AQ196" s="10">
        <v>222.67129483336399</v>
      </c>
      <c r="AS196" s="10">
        <v>2014</v>
      </c>
      <c r="AT196" s="10">
        <v>3</v>
      </c>
      <c r="AU196" s="10">
        <v>222.615085456061</v>
      </c>
      <c r="AW196" s="10">
        <v>2014</v>
      </c>
      <c r="AX196" s="10">
        <v>3</v>
      </c>
      <c r="AY196" s="10">
        <v>222.61552311471101</v>
      </c>
    </row>
    <row r="197" spans="1:51" x14ac:dyDescent="0.25">
      <c r="A197" s="8">
        <v>2014</v>
      </c>
      <c r="B197" s="8">
        <v>4</v>
      </c>
      <c r="C197" s="10">
        <v>226.47915397688399</v>
      </c>
      <c r="E197" s="10">
        <v>2014</v>
      </c>
      <c r="F197" s="10">
        <v>4</v>
      </c>
      <c r="G197" s="10">
        <v>225.64049629372201</v>
      </c>
      <c r="I197" s="10">
        <v>2014</v>
      </c>
      <c r="J197" s="10">
        <v>4</v>
      </c>
      <c r="K197" s="10">
        <v>225.63641123724</v>
      </c>
      <c r="M197" s="10">
        <v>2014</v>
      </c>
      <c r="N197" s="10">
        <v>4</v>
      </c>
      <c r="O197" s="10">
        <v>225.61997093385301</v>
      </c>
      <c r="Q197" s="10">
        <v>2014</v>
      </c>
      <c r="R197" s="10">
        <v>4</v>
      </c>
      <c r="S197" s="10">
        <v>225.54331185889501</v>
      </c>
      <c r="U197" s="10">
        <v>2014</v>
      </c>
      <c r="V197" s="10">
        <v>4</v>
      </c>
      <c r="W197" s="10">
        <v>225.40055262242601</v>
      </c>
      <c r="Y197" s="17">
        <v>2019</v>
      </c>
      <c r="Z197" s="17">
        <v>4</v>
      </c>
      <c r="AA197" s="17">
        <v>56464.074841172602</v>
      </c>
      <c r="AC197" s="10">
        <v>2014</v>
      </c>
      <c r="AD197" s="10">
        <v>4</v>
      </c>
      <c r="AE197" s="10">
        <v>225.40865183668899</v>
      </c>
      <c r="AG197" s="10">
        <v>2014</v>
      </c>
      <c r="AH197" s="10">
        <v>4</v>
      </c>
      <c r="AI197" s="10">
        <v>225.40567703920499</v>
      </c>
      <c r="AK197" s="10">
        <v>2014</v>
      </c>
      <c r="AL197" s="10">
        <v>4</v>
      </c>
      <c r="AM197" s="10">
        <v>225.41813128868799</v>
      </c>
      <c r="AO197" s="10">
        <v>2014</v>
      </c>
      <c r="AP197" s="10">
        <v>4</v>
      </c>
      <c r="AQ197" s="10">
        <v>225.42277571837801</v>
      </c>
      <c r="AS197" s="10">
        <v>2014</v>
      </c>
      <c r="AT197" s="10">
        <v>4</v>
      </c>
      <c r="AU197" s="10">
        <v>225.41451154491699</v>
      </c>
      <c r="AW197" s="10">
        <v>2014</v>
      </c>
      <c r="AX197" s="10">
        <v>4</v>
      </c>
      <c r="AY197" s="10">
        <v>225.41361843299799</v>
      </c>
    </row>
    <row r="198" spans="1:51" x14ac:dyDescent="0.25">
      <c r="A198" s="8">
        <v>2014</v>
      </c>
      <c r="B198" s="8">
        <v>5</v>
      </c>
      <c r="C198" s="10">
        <v>222.02567195158599</v>
      </c>
      <c r="E198" s="10">
        <v>2014</v>
      </c>
      <c r="F198" s="10">
        <v>5</v>
      </c>
      <c r="G198" s="10">
        <v>222.46325052813299</v>
      </c>
      <c r="I198" s="10">
        <v>2014</v>
      </c>
      <c r="J198" s="10">
        <v>5</v>
      </c>
      <c r="K198" s="10">
        <v>222.45955592270701</v>
      </c>
      <c r="M198" s="10">
        <v>2014</v>
      </c>
      <c r="N198" s="10">
        <v>5</v>
      </c>
      <c r="O198" s="10">
        <v>222.48637907677599</v>
      </c>
      <c r="Q198" s="10">
        <v>2014</v>
      </c>
      <c r="R198" s="10">
        <v>5</v>
      </c>
      <c r="S198" s="10">
        <v>222.495518916008</v>
      </c>
      <c r="U198" s="10">
        <v>2014</v>
      </c>
      <c r="V198" s="10">
        <v>5</v>
      </c>
      <c r="W198" s="10">
        <v>222.48639629020201</v>
      </c>
      <c r="Y198" s="17">
        <v>2019</v>
      </c>
      <c r="Z198" s="17">
        <v>5</v>
      </c>
      <c r="AA198" s="17">
        <v>54814.865835582903</v>
      </c>
      <c r="AC198" s="10">
        <v>2014</v>
      </c>
      <c r="AD198" s="10">
        <v>5</v>
      </c>
      <c r="AE198" s="10">
        <v>222.48277539495501</v>
      </c>
      <c r="AG198" s="10">
        <v>2014</v>
      </c>
      <c r="AH198" s="10">
        <v>5</v>
      </c>
      <c r="AI198" s="10">
        <v>222.547190631973</v>
      </c>
      <c r="AK198" s="10">
        <v>2014</v>
      </c>
      <c r="AL198" s="10">
        <v>5</v>
      </c>
      <c r="AM198" s="10">
        <v>222.531849483716</v>
      </c>
      <c r="AO198" s="10">
        <v>2014</v>
      </c>
      <c r="AP198" s="10">
        <v>5</v>
      </c>
      <c r="AQ198" s="10">
        <v>222.47986988476001</v>
      </c>
      <c r="AS198" s="10">
        <v>2014</v>
      </c>
      <c r="AT198" s="10">
        <v>5</v>
      </c>
      <c r="AU198" s="10">
        <v>222.56868009054401</v>
      </c>
      <c r="AW198" s="10">
        <v>2014</v>
      </c>
      <c r="AX198" s="10">
        <v>5</v>
      </c>
      <c r="AY198" s="10">
        <v>222.57461586331701</v>
      </c>
    </row>
    <row r="199" spans="1:51" x14ac:dyDescent="0.25">
      <c r="A199" s="8">
        <v>2014</v>
      </c>
      <c r="B199" s="8">
        <v>6</v>
      </c>
      <c r="C199" s="10">
        <v>230.20419715179801</v>
      </c>
      <c r="E199" s="10">
        <v>2014</v>
      </c>
      <c r="F199" s="10">
        <v>6</v>
      </c>
      <c r="G199" s="10">
        <v>230.80539614456299</v>
      </c>
      <c r="I199" s="10">
        <v>2014</v>
      </c>
      <c r="J199" s="10">
        <v>6</v>
      </c>
      <c r="K199" s="10">
        <v>230.80223934634699</v>
      </c>
      <c r="M199" s="10">
        <v>2014</v>
      </c>
      <c r="N199" s="10">
        <v>6</v>
      </c>
      <c r="O199" s="10">
        <v>230.821486060007</v>
      </c>
      <c r="Q199" s="10">
        <v>2014</v>
      </c>
      <c r="R199" s="10">
        <v>6</v>
      </c>
      <c r="S199" s="10">
        <v>230.84803617768799</v>
      </c>
      <c r="U199" s="10">
        <v>2014</v>
      </c>
      <c r="V199" s="10">
        <v>6</v>
      </c>
      <c r="W199" s="10">
        <v>230.99627330256499</v>
      </c>
      <c r="Y199" s="17">
        <v>2019</v>
      </c>
      <c r="Z199" s="17">
        <v>6</v>
      </c>
      <c r="AA199" s="17">
        <v>53231.477862608299</v>
      </c>
      <c r="AC199" s="10">
        <v>2014</v>
      </c>
      <c r="AD199" s="10">
        <v>6</v>
      </c>
      <c r="AE199" s="10">
        <v>230.994319962764</v>
      </c>
      <c r="AG199" s="10">
        <v>2014</v>
      </c>
      <c r="AH199" s="10">
        <v>6</v>
      </c>
      <c r="AI199" s="10">
        <v>230.901898346514</v>
      </c>
      <c r="AK199" s="10">
        <v>2014</v>
      </c>
      <c r="AL199" s="10">
        <v>6</v>
      </c>
      <c r="AM199" s="10">
        <v>230.88099833099901</v>
      </c>
      <c r="AO199" s="10">
        <v>2014</v>
      </c>
      <c r="AP199" s="10">
        <v>6</v>
      </c>
      <c r="AQ199" s="10">
        <v>230.96086492895</v>
      </c>
      <c r="AS199" s="10">
        <v>2014</v>
      </c>
      <c r="AT199" s="10">
        <v>6</v>
      </c>
      <c r="AU199" s="10">
        <v>230.86654199174001</v>
      </c>
      <c r="AW199" s="10">
        <v>2014</v>
      </c>
      <c r="AX199" s="10">
        <v>6</v>
      </c>
      <c r="AY199" s="10">
        <v>230.86573209712299</v>
      </c>
    </row>
    <row r="200" spans="1:51" x14ac:dyDescent="0.25">
      <c r="A200" s="8">
        <v>2014</v>
      </c>
      <c r="B200" s="8">
        <v>7</v>
      </c>
      <c r="C200" s="10">
        <v>219.432346461794</v>
      </c>
      <c r="E200" s="10">
        <v>2014</v>
      </c>
      <c r="F200" s="10">
        <v>7</v>
      </c>
      <c r="G200" s="10">
        <v>218.90243108614499</v>
      </c>
      <c r="I200" s="10">
        <v>2014</v>
      </c>
      <c r="J200" s="10">
        <v>7</v>
      </c>
      <c r="K200" s="10">
        <v>218.908099201536</v>
      </c>
      <c r="M200" s="10">
        <v>2014</v>
      </c>
      <c r="N200" s="10">
        <v>7</v>
      </c>
      <c r="O200" s="10">
        <v>218.87493512463999</v>
      </c>
      <c r="Q200" s="10">
        <v>2014</v>
      </c>
      <c r="R200" s="10">
        <v>7</v>
      </c>
      <c r="S200" s="10">
        <v>218.83721663778701</v>
      </c>
      <c r="U200" s="10">
        <v>2014</v>
      </c>
      <c r="V200" s="10">
        <v>7</v>
      </c>
      <c r="W200" s="10">
        <v>218.78485305920299</v>
      </c>
      <c r="Y200" s="17">
        <v>2019</v>
      </c>
      <c r="Z200" s="17">
        <v>7</v>
      </c>
      <c r="AA200" s="17">
        <v>52069.904196668103</v>
      </c>
      <c r="AC200" s="10">
        <v>2014</v>
      </c>
      <c r="AD200" s="10">
        <v>7</v>
      </c>
      <c r="AE200" s="10">
        <v>218.789061059875</v>
      </c>
      <c r="AG200" s="10">
        <v>2014</v>
      </c>
      <c r="AH200" s="10">
        <v>7</v>
      </c>
      <c r="AI200" s="10">
        <v>218.76332334359299</v>
      </c>
      <c r="AK200" s="10">
        <v>2014</v>
      </c>
      <c r="AL200" s="10">
        <v>7</v>
      </c>
      <c r="AM200" s="10">
        <v>218.79637006637299</v>
      </c>
      <c r="AO200" s="10">
        <v>2014</v>
      </c>
      <c r="AP200" s="10">
        <v>7</v>
      </c>
      <c r="AQ200" s="10">
        <v>218.762885383791</v>
      </c>
      <c r="AS200" s="10">
        <v>2014</v>
      </c>
      <c r="AT200" s="10">
        <v>7</v>
      </c>
      <c r="AU200" s="10">
        <v>218.753626622322</v>
      </c>
      <c r="AW200" s="10">
        <v>2014</v>
      </c>
      <c r="AX200" s="10">
        <v>7</v>
      </c>
      <c r="AY200" s="10">
        <v>218.75136648919101</v>
      </c>
    </row>
    <row r="201" spans="1:51" x14ac:dyDescent="0.25">
      <c r="A201" s="8">
        <v>2014</v>
      </c>
      <c r="B201" s="8">
        <v>8</v>
      </c>
      <c r="C201" s="10">
        <v>218.59230680862501</v>
      </c>
      <c r="E201" s="10">
        <v>2014</v>
      </c>
      <c r="F201" s="10">
        <v>8</v>
      </c>
      <c r="G201" s="10">
        <v>219.02802137746201</v>
      </c>
      <c r="I201" s="10">
        <v>2014</v>
      </c>
      <c r="J201" s="10">
        <v>8</v>
      </c>
      <c r="K201" s="10">
        <v>219.02300464227301</v>
      </c>
      <c r="M201" s="10">
        <v>2014</v>
      </c>
      <c r="N201" s="10">
        <v>8</v>
      </c>
      <c r="O201" s="10">
        <v>219.04428576374301</v>
      </c>
      <c r="Q201" s="10">
        <v>2014</v>
      </c>
      <c r="R201" s="10">
        <v>8</v>
      </c>
      <c r="S201" s="10">
        <v>219.06721339229799</v>
      </c>
      <c r="U201" s="10">
        <v>2014</v>
      </c>
      <c r="V201" s="10">
        <v>8</v>
      </c>
      <c r="W201" s="10">
        <v>219.08864420708699</v>
      </c>
      <c r="Y201" s="17">
        <v>2019</v>
      </c>
      <c r="Z201" s="17">
        <v>8</v>
      </c>
      <c r="AA201" s="17">
        <v>50923.006997336597</v>
      </c>
      <c r="AC201" s="10">
        <v>2014</v>
      </c>
      <c r="AD201" s="10">
        <v>8</v>
      </c>
      <c r="AE201" s="10">
        <v>219.08491218867201</v>
      </c>
      <c r="AG201" s="10">
        <v>2014</v>
      </c>
      <c r="AH201" s="10">
        <v>8</v>
      </c>
      <c r="AI201" s="10">
        <v>219.11381473700999</v>
      </c>
      <c r="AK201" s="10">
        <v>2014</v>
      </c>
      <c r="AL201" s="10">
        <v>8</v>
      </c>
      <c r="AM201" s="10">
        <v>219.095999040245</v>
      </c>
      <c r="AO201" s="10">
        <v>2014</v>
      </c>
      <c r="AP201" s="10">
        <v>8</v>
      </c>
      <c r="AQ201" s="10">
        <v>219.13419077415</v>
      </c>
      <c r="AS201" s="10">
        <v>2014</v>
      </c>
      <c r="AT201" s="10">
        <v>8</v>
      </c>
      <c r="AU201" s="10">
        <v>219.064340258577</v>
      </c>
      <c r="AW201" s="10">
        <v>2014</v>
      </c>
      <c r="AX201" s="10">
        <v>8</v>
      </c>
      <c r="AY201" s="10">
        <v>219.064178460004</v>
      </c>
    </row>
    <row r="202" spans="1:51" x14ac:dyDescent="0.25">
      <c r="A202" s="8">
        <v>2014</v>
      </c>
      <c r="B202" s="8">
        <v>9</v>
      </c>
      <c r="C202" s="10">
        <v>221.995827361788</v>
      </c>
      <c r="E202" s="10">
        <v>2014</v>
      </c>
      <c r="F202" s="10">
        <v>9</v>
      </c>
      <c r="G202" s="10">
        <v>221.693593385231</v>
      </c>
      <c r="I202" s="10">
        <v>2014</v>
      </c>
      <c r="J202" s="10">
        <v>9</v>
      </c>
      <c r="K202" s="10">
        <v>221.702028136564</v>
      </c>
      <c r="M202" s="10">
        <v>2014</v>
      </c>
      <c r="N202" s="10">
        <v>9</v>
      </c>
      <c r="O202" s="10">
        <v>221.640195528254</v>
      </c>
      <c r="Q202" s="10">
        <v>2014</v>
      </c>
      <c r="R202" s="10">
        <v>9</v>
      </c>
      <c r="S202" s="10">
        <v>221.56940195078599</v>
      </c>
      <c r="U202" s="10">
        <v>2014</v>
      </c>
      <c r="V202" s="10">
        <v>9</v>
      </c>
      <c r="W202" s="10">
        <v>221.43563264947801</v>
      </c>
      <c r="Y202" s="17">
        <v>2019</v>
      </c>
      <c r="Z202" s="17">
        <v>9</v>
      </c>
      <c r="AA202" s="17">
        <v>49837.577884208498</v>
      </c>
      <c r="AC202" s="10">
        <v>2014</v>
      </c>
      <c r="AD202" s="10">
        <v>9</v>
      </c>
      <c r="AE202" s="10">
        <v>221.442607264239</v>
      </c>
      <c r="AG202" s="10">
        <v>2014</v>
      </c>
      <c r="AH202" s="10">
        <v>9</v>
      </c>
      <c r="AI202" s="10">
        <v>221.405352007842</v>
      </c>
      <c r="AK202" s="10">
        <v>2014</v>
      </c>
      <c r="AL202" s="10">
        <v>9</v>
      </c>
      <c r="AM202" s="10">
        <v>221.47380088560899</v>
      </c>
      <c r="AO202" s="10">
        <v>2014</v>
      </c>
      <c r="AP202" s="10">
        <v>9</v>
      </c>
      <c r="AQ202" s="10">
        <v>221.291193824278</v>
      </c>
      <c r="AS202" s="10">
        <v>2014</v>
      </c>
      <c r="AT202" s="10">
        <v>9</v>
      </c>
      <c r="AU202" s="10">
        <v>221.40377867028201</v>
      </c>
      <c r="AW202" s="10">
        <v>2014</v>
      </c>
      <c r="AX202" s="10">
        <v>9</v>
      </c>
      <c r="AY202" s="10">
        <v>221.399140872396</v>
      </c>
    </row>
    <row r="203" spans="1:51" x14ac:dyDescent="0.25">
      <c r="A203" s="8">
        <v>2014</v>
      </c>
      <c r="B203" s="8">
        <v>10</v>
      </c>
      <c r="C203" s="10">
        <v>217.04267801505</v>
      </c>
      <c r="E203" s="10">
        <v>2014</v>
      </c>
      <c r="F203" s="10">
        <v>10</v>
      </c>
      <c r="G203" s="10">
        <v>216.815828655178</v>
      </c>
      <c r="I203" s="10">
        <v>2014</v>
      </c>
      <c r="J203" s="10">
        <v>10</v>
      </c>
      <c r="K203" s="10">
        <v>216.81929881579299</v>
      </c>
      <c r="M203" s="10">
        <v>2014</v>
      </c>
      <c r="N203" s="10">
        <v>10</v>
      </c>
      <c r="O203" s="10">
        <v>216.79793043251499</v>
      </c>
      <c r="Q203" s="10">
        <v>2014</v>
      </c>
      <c r="R203" s="10">
        <v>10</v>
      </c>
      <c r="S203" s="10">
        <v>216.77575805700701</v>
      </c>
      <c r="U203" s="10">
        <v>2014</v>
      </c>
      <c r="V203" s="10">
        <v>10</v>
      </c>
      <c r="W203" s="10">
        <v>216.746228293977</v>
      </c>
      <c r="Y203" s="17">
        <v>2019</v>
      </c>
      <c r="Z203" s="17">
        <v>10</v>
      </c>
      <c r="AA203" s="17">
        <v>50175.299773807303</v>
      </c>
      <c r="AC203" s="10">
        <v>2014</v>
      </c>
      <c r="AD203" s="10">
        <v>10</v>
      </c>
      <c r="AE203" s="10">
        <v>216.749027056393</v>
      </c>
      <c r="AG203" s="10">
        <v>2014</v>
      </c>
      <c r="AH203" s="10">
        <v>10</v>
      </c>
      <c r="AI203" s="10">
        <v>216.73260313624101</v>
      </c>
      <c r="AK203" s="10">
        <v>2014</v>
      </c>
      <c r="AL203" s="10">
        <v>10</v>
      </c>
      <c r="AM203" s="10">
        <v>216.745890650338</v>
      </c>
      <c r="AO203" s="10">
        <v>2014</v>
      </c>
      <c r="AP203" s="10">
        <v>10</v>
      </c>
      <c r="AQ203" s="10">
        <v>216.73622616995499</v>
      </c>
      <c r="AS203" s="10">
        <v>2014</v>
      </c>
      <c r="AT203" s="10">
        <v>10</v>
      </c>
      <c r="AU203" s="10">
        <v>216.73348406314199</v>
      </c>
      <c r="AW203" s="10">
        <v>2014</v>
      </c>
      <c r="AX203" s="10">
        <v>10</v>
      </c>
      <c r="AY203" s="10">
        <v>216.73137175987</v>
      </c>
    </row>
    <row r="204" spans="1:51" x14ac:dyDescent="0.25">
      <c r="A204" s="8">
        <v>2014</v>
      </c>
      <c r="B204" s="8">
        <v>11</v>
      </c>
      <c r="C204" s="10">
        <v>236.41176831617</v>
      </c>
      <c r="E204" s="10">
        <v>2014</v>
      </c>
      <c r="F204" s="10">
        <v>11</v>
      </c>
      <c r="G204" s="10">
        <v>237.65153321322899</v>
      </c>
      <c r="I204" s="10">
        <v>2014</v>
      </c>
      <c r="J204" s="10">
        <v>11</v>
      </c>
      <c r="K204" s="10">
        <v>237.639841862775</v>
      </c>
      <c r="M204" s="10">
        <v>2014</v>
      </c>
      <c r="N204" s="10">
        <v>11</v>
      </c>
      <c r="O204" s="10">
        <v>237.71129955410601</v>
      </c>
      <c r="Q204" s="10">
        <v>2014</v>
      </c>
      <c r="R204" s="10">
        <v>11</v>
      </c>
      <c r="S204" s="10">
        <v>237.788499233832</v>
      </c>
      <c r="U204" s="10">
        <v>2014</v>
      </c>
      <c r="V204" s="10">
        <v>11</v>
      </c>
      <c r="W204" s="10">
        <v>237.898645343174</v>
      </c>
      <c r="Y204" s="17">
        <v>2019</v>
      </c>
      <c r="Z204" s="17">
        <v>11</v>
      </c>
      <c r="AA204" s="17">
        <v>49771.773241244497</v>
      </c>
      <c r="AC204" s="10">
        <v>2014</v>
      </c>
      <c r="AD204" s="10">
        <v>11</v>
      </c>
      <c r="AE204" s="10">
        <v>237.88815699108699</v>
      </c>
      <c r="AG204" s="10">
        <v>2014</v>
      </c>
      <c r="AH204" s="10">
        <v>11</v>
      </c>
      <c r="AI204" s="10">
        <v>237.94502101859601</v>
      </c>
      <c r="AK204" s="10">
        <v>2014</v>
      </c>
      <c r="AL204" s="10">
        <v>11</v>
      </c>
      <c r="AM204" s="10">
        <v>237.87781973100201</v>
      </c>
      <c r="AO204" s="10">
        <v>2014</v>
      </c>
      <c r="AP204" s="10">
        <v>11</v>
      </c>
      <c r="AQ204" s="10">
        <v>237.98357963262799</v>
      </c>
      <c r="AS204" s="10">
        <v>2014</v>
      </c>
      <c r="AT204" s="10">
        <v>11</v>
      </c>
      <c r="AU204" s="10">
        <v>237.903235207808</v>
      </c>
      <c r="AW204" s="10">
        <v>2014</v>
      </c>
      <c r="AX204" s="10">
        <v>11</v>
      </c>
      <c r="AY204" s="10">
        <v>237.90430131574101</v>
      </c>
    </row>
    <row r="205" spans="1:51" x14ac:dyDescent="0.25">
      <c r="A205" s="8">
        <v>2014</v>
      </c>
      <c r="B205" s="8">
        <v>12</v>
      </c>
      <c r="C205" s="10">
        <v>216.31111971468499</v>
      </c>
      <c r="E205" s="10">
        <v>2014</v>
      </c>
      <c r="F205" s="10">
        <v>12</v>
      </c>
      <c r="G205" s="10">
        <v>213.31780057702099</v>
      </c>
      <c r="I205" s="10">
        <v>2014</v>
      </c>
      <c r="J205" s="10">
        <v>12</v>
      </c>
      <c r="K205" s="10">
        <v>213.326633692358</v>
      </c>
      <c r="M205" s="10">
        <v>2014</v>
      </c>
      <c r="N205" s="10">
        <v>12</v>
      </c>
      <c r="O205" s="10">
        <v>213.27247980681699</v>
      </c>
      <c r="Q205" s="10">
        <v>2014</v>
      </c>
      <c r="R205" s="10">
        <v>12</v>
      </c>
      <c r="S205" s="10">
        <v>213.22750725452701</v>
      </c>
      <c r="U205" s="10">
        <v>2014</v>
      </c>
      <c r="V205" s="10">
        <v>12</v>
      </c>
      <c r="W205" s="10">
        <v>213.14080981062301</v>
      </c>
      <c r="Y205" s="17">
        <v>2019</v>
      </c>
      <c r="Z205" s="17">
        <v>12</v>
      </c>
      <c r="AA205" s="17">
        <v>49253.267828644603</v>
      </c>
      <c r="AC205" s="10">
        <v>2014</v>
      </c>
      <c r="AD205" s="10">
        <v>12</v>
      </c>
      <c r="AE205" s="10">
        <v>213.14812377543001</v>
      </c>
      <c r="AG205" s="10">
        <v>2014</v>
      </c>
      <c r="AH205" s="10">
        <v>12</v>
      </c>
      <c r="AI205" s="10">
        <v>213.13471492906001</v>
      </c>
      <c r="AK205" s="10">
        <v>2014</v>
      </c>
      <c r="AL205" s="10">
        <v>12</v>
      </c>
      <c r="AM205" s="10">
        <v>213.15818523935201</v>
      </c>
      <c r="AO205" s="10">
        <v>2014</v>
      </c>
      <c r="AP205" s="10">
        <v>12</v>
      </c>
      <c r="AQ205" s="10">
        <v>213.10994182185399</v>
      </c>
      <c r="AS205" s="10">
        <v>2014</v>
      </c>
      <c r="AT205" s="10">
        <v>12</v>
      </c>
      <c r="AU205" s="10">
        <v>213.17783528717899</v>
      </c>
      <c r="AW205" s="10">
        <v>2014</v>
      </c>
      <c r="AX205" s="10">
        <v>12</v>
      </c>
      <c r="AY205" s="10">
        <v>213.177013201741</v>
      </c>
    </row>
    <row r="206" spans="1:51" x14ac:dyDescent="0.25">
      <c r="A206" s="8">
        <v>2015</v>
      </c>
      <c r="B206" s="8">
        <v>1</v>
      </c>
      <c r="C206" s="10">
        <v>228.44880605139701</v>
      </c>
      <c r="E206" s="10">
        <v>2015</v>
      </c>
      <c r="F206" s="10">
        <v>1</v>
      </c>
      <c r="G206" s="10">
        <v>228.999718292685</v>
      </c>
      <c r="I206" s="10">
        <v>2015</v>
      </c>
      <c r="J206" s="10">
        <v>1</v>
      </c>
      <c r="K206" s="10">
        <v>228.99778911546201</v>
      </c>
      <c r="M206" s="10">
        <v>2015</v>
      </c>
      <c r="N206" s="10">
        <v>1</v>
      </c>
      <c r="O206" s="10">
        <v>229.01274003927301</v>
      </c>
      <c r="Q206" s="10">
        <v>2015</v>
      </c>
      <c r="R206" s="10">
        <v>1</v>
      </c>
      <c r="S206" s="10">
        <v>229.04158584608601</v>
      </c>
      <c r="U206" s="10">
        <v>2015</v>
      </c>
      <c r="V206" s="10">
        <v>1</v>
      </c>
      <c r="W206" s="10">
        <v>229.05665618845401</v>
      </c>
      <c r="Y206" s="17">
        <v>2020</v>
      </c>
      <c r="Z206" s="17">
        <v>1</v>
      </c>
      <c r="AA206" s="17">
        <v>48895.815200686302</v>
      </c>
      <c r="AC206" s="10">
        <v>2015</v>
      </c>
      <c r="AD206" s="10">
        <v>1</v>
      </c>
      <c r="AE206" s="10">
        <v>229.05504008024499</v>
      </c>
      <c r="AG206" s="10">
        <v>2015</v>
      </c>
      <c r="AH206" s="10">
        <v>1</v>
      </c>
      <c r="AI206" s="10">
        <v>229.07329346009701</v>
      </c>
      <c r="AK206" s="10">
        <v>2015</v>
      </c>
      <c r="AL206" s="10">
        <v>1</v>
      </c>
      <c r="AM206" s="10">
        <v>229.058786546721</v>
      </c>
      <c r="AO206" s="10">
        <v>2015</v>
      </c>
      <c r="AP206" s="10">
        <v>1</v>
      </c>
      <c r="AQ206" s="10">
        <v>229.11106101976401</v>
      </c>
      <c r="AS206" s="10">
        <v>2015</v>
      </c>
      <c r="AT206" s="10">
        <v>1</v>
      </c>
      <c r="AU206" s="10">
        <v>229.068276260641</v>
      </c>
      <c r="AW206" s="10">
        <v>2015</v>
      </c>
      <c r="AX206" s="10">
        <v>1</v>
      </c>
      <c r="AY206" s="10">
        <v>229.06700911438199</v>
      </c>
    </row>
    <row r="207" spans="1:51" x14ac:dyDescent="0.25">
      <c r="A207" s="8">
        <v>2015</v>
      </c>
      <c r="B207" s="8">
        <v>2</v>
      </c>
      <c r="C207" s="10">
        <v>229.81036823106101</v>
      </c>
      <c r="E207" s="10">
        <v>2015</v>
      </c>
      <c r="F207" s="10">
        <v>2</v>
      </c>
      <c r="G207" s="10">
        <v>230.54041871575001</v>
      </c>
      <c r="I207" s="10">
        <v>2015</v>
      </c>
      <c r="J207" s="10">
        <v>2</v>
      </c>
      <c r="K207" s="10">
        <v>230.53394688363801</v>
      </c>
      <c r="M207" s="10">
        <v>2015</v>
      </c>
      <c r="N207" s="10">
        <v>2</v>
      </c>
      <c r="O207" s="10">
        <v>230.55354280147401</v>
      </c>
      <c r="Q207" s="10">
        <v>2015</v>
      </c>
      <c r="R207" s="10">
        <v>2</v>
      </c>
      <c r="S207" s="10">
        <v>230.541278894805</v>
      </c>
      <c r="U207" s="10">
        <v>2015</v>
      </c>
      <c r="V207" s="10">
        <v>2</v>
      </c>
      <c r="W207" s="10">
        <v>230.60814699701001</v>
      </c>
      <c r="Y207" s="17">
        <v>2020</v>
      </c>
      <c r="Z207" s="17">
        <v>2</v>
      </c>
      <c r="AA207" s="17">
        <v>49048.808058966097</v>
      </c>
      <c r="AC207" s="10">
        <v>2015</v>
      </c>
      <c r="AD207" s="10">
        <v>2</v>
      </c>
      <c r="AE207" s="10">
        <v>230.60831411048801</v>
      </c>
      <c r="AG207" s="10">
        <v>2015</v>
      </c>
      <c r="AH207" s="10">
        <v>2</v>
      </c>
      <c r="AI207" s="10">
        <v>230.61660088481599</v>
      </c>
      <c r="AK207" s="10">
        <v>2015</v>
      </c>
      <c r="AL207" s="10">
        <v>2</v>
      </c>
      <c r="AM207" s="10">
        <v>230.61475080382601</v>
      </c>
      <c r="AO207" s="10">
        <v>2015</v>
      </c>
      <c r="AP207" s="10">
        <v>2</v>
      </c>
      <c r="AQ207" s="10">
        <v>230.59241895531599</v>
      </c>
      <c r="AS207" s="10">
        <v>2015</v>
      </c>
      <c r="AT207" s="10">
        <v>2</v>
      </c>
      <c r="AU207" s="10">
        <v>230.90736600615</v>
      </c>
      <c r="AW207" s="10">
        <v>2015</v>
      </c>
      <c r="AX207" s="10">
        <v>2</v>
      </c>
      <c r="AY207" s="10">
        <v>230.95228364399199</v>
      </c>
    </row>
    <row r="208" spans="1:51" x14ac:dyDescent="0.25">
      <c r="A208" s="8">
        <v>2015</v>
      </c>
      <c r="B208" s="8">
        <v>3</v>
      </c>
      <c r="C208" s="10">
        <v>231.70960974103099</v>
      </c>
      <c r="E208" s="10">
        <v>2015</v>
      </c>
      <c r="F208" s="10">
        <v>3</v>
      </c>
      <c r="G208" s="10">
        <v>232.79401989868799</v>
      </c>
      <c r="I208" s="10">
        <v>2015</v>
      </c>
      <c r="J208" s="10">
        <v>3</v>
      </c>
      <c r="K208" s="10">
        <v>232.801499799396</v>
      </c>
      <c r="M208" s="10">
        <v>2015</v>
      </c>
      <c r="N208" s="10">
        <v>3</v>
      </c>
      <c r="O208" s="10">
        <v>232.812816303419</v>
      </c>
      <c r="Q208" s="10">
        <v>2015</v>
      </c>
      <c r="R208" s="10">
        <v>3</v>
      </c>
      <c r="S208" s="10">
        <v>232.91458229289299</v>
      </c>
      <c r="U208" s="10">
        <v>2015</v>
      </c>
      <c r="V208" s="10">
        <v>3</v>
      </c>
      <c r="W208" s="10">
        <v>233.05622240949199</v>
      </c>
      <c r="Y208" s="17">
        <v>2020</v>
      </c>
      <c r="Z208" s="17">
        <v>3</v>
      </c>
      <c r="AA208" s="17">
        <v>49446.900632402401</v>
      </c>
      <c r="AC208" s="10">
        <v>2015</v>
      </c>
      <c r="AD208" s="10">
        <v>3</v>
      </c>
      <c r="AE208" s="10">
        <v>233.049052537797</v>
      </c>
      <c r="AG208" s="10">
        <v>2015</v>
      </c>
      <c r="AH208" s="10">
        <v>3</v>
      </c>
      <c r="AI208" s="10">
        <v>233.06338832820501</v>
      </c>
      <c r="AK208" s="10">
        <v>2015</v>
      </c>
      <c r="AL208" s="10">
        <v>3</v>
      </c>
      <c r="AM208" s="10">
        <v>233.05434802390201</v>
      </c>
      <c r="AO208" s="10">
        <v>2015</v>
      </c>
      <c r="AP208" s="10">
        <v>3</v>
      </c>
      <c r="AQ208" s="10">
        <v>233.12005464911701</v>
      </c>
      <c r="AS208" s="10">
        <v>2015</v>
      </c>
      <c r="AT208" s="10">
        <v>3</v>
      </c>
      <c r="AU208" s="10">
        <v>233.05037752204501</v>
      </c>
      <c r="AW208" s="10">
        <v>2015</v>
      </c>
      <c r="AX208" s="10">
        <v>3</v>
      </c>
      <c r="AY208" s="10">
        <v>233.04767964479001</v>
      </c>
    </row>
    <row r="209" spans="1:51" x14ac:dyDescent="0.25">
      <c r="A209" s="8">
        <v>2015</v>
      </c>
      <c r="B209" s="8">
        <v>4</v>
      </c>
      <c r="C209" s="10">
        <v>236.10267388076699</v>
      </c>
      <c r="E209" s="10">
        <v>2015</v>
      </c>
      <c r="F209" s="10">
        <v>4</v>
      </c>
      <c r="G209" s="10">
        <v>234.99325007002</v>
      </c>
      <c r="I209" s="10">
        <v>2015</v>
      </c>
      <c r="J209" s="10">
        <v>4</v>
      </c>
      <c r="K209" s="10">
        <v>234.98805996053599</v>
      </c>
      <c r="M209" s="10">
        <v>2015</v>
      </c>
      <c r="N209" s="10">
        <v>4</v>
      </c>
      <c r="O209" s="10">
        <v>234.965009591702</v>
      </c>
      <c r="Q209" s="10">
        <v>2015</v>
      </c>
      <c r="R209" s="10">
        <v>4</v>
      </c>
      <c r="S209" s="10">
        <v>234.87351876219199</v>
      </c>
      <c r="U209" s="10">
        <v>2015</v>
      </c>
      <c r="V209" s="10">
        <v>4</v>
      </c>
      <c r="W209" s="10">
        <v>234.69364249832</v>
      </c>
      <c r="Y209" s="17">
        <v>2020</v>
      </c>
      <c r="Z209" s="17">
        <v>4</v>
      </c>
      <c r="AA209" s="17">
        <v>52352.654963470603</v>
      </c>
      <c r="AC209" s="10">
        <v>2015</v>
      </c>
      <c r="AD209" s="10">
        <v>4</v>
      </c>
      <c r="AE209" s="10">
        <v>234.704839197773</v>
      </c>
      <c r="AG209" s="10">
        <v>2015</v>
      </c>
      <c r="AH209" s="10">
        <v>4</v>
      </c>
      <c r="AI209" s="10">
        <v>234.69640358933799</v>
      </c>
      <c r="AK209" s="10">
        <v>2015</v>
      </c>
      <c r="AL209" s="10">
        <v>4</v>
      </c>
      <c r="AM209" s="10">
        <v>234.71501962737099</v>
      </c>
      <c r="AO209" s="10">
        <v>2015</v>
      </c>
      <c r="AP209" s="10">
        <v>4</v>
      </c>
      <c r="AQ209" s="10">
        <v>234.74007708961</v>
      </c>
      <c r="AS209" s="10">
        <v>2015</v>
      </c>
      <c r="AT209" s="10">
        <v>4</v>
      </c>
      <c r="AU209" s="10">
        <v>234.69974088725601</v>
      </c>
      <c r="AW209" s="10">
        <v>2015</v>
      </c>
      <c r="AX209" s="10">
        <v>4</v>
      </c>
      <c r="AY209" s="10">
        <v>234.69772386985599</v>
      </c>
    </row>
    <row r="210" spans="1:51" x14ac:dyDescent="0.25">
      <c r="A210" s="8">
        <v>2015</v>
      </c>
      <c r="B210" s="8">
        <v>5</v>
      </c>
      <c r="C210" s="10">
        <v>234.626129821147</v>
      </c>
      <c r="E210" s="10">
        <v>2015</v>
      </c>
      <c r="F210" s="10">
        <v>5</v>
      </c>
      <c r="G210" s="10">
        <v>235.74646601850799</v>
      </c>
      <c r="I210" s="10">
        <v>2015</v>
      </c>
      <c r="J210" s="10">
        <v>5</v>
      </c>
      <c r="K210" s="10">
        <v>235.735233187369</v>
      </c>
      <c r="M210" s="10">
        <v>2015</v>
      </c>
      <c r="N210" s="10">
        <v>5</v>
      </c>
      <c r="O210" s="10">
        <v>235.808356417765</v>
      </c>
      <c r="Q210" s="10">
        <v>2015</v>
      </c>
      <c r="R210" s="10">
        <v>5</v>
      </c>
      <c r="S210" s="10">
        <v>235.84534893935</v>
      </c>
      <c r="U210" s="10">
        <v>2015</v>
      </c>
      <c r="V210" s="10">
        <v>5</v>
      </c>
      <c r="W210" s="10">
        <v>235.88747257971301</v>
      </c>
      <c r="Y210" s="17">
        <v>2020</v>
      </c>
      <c r="Z210" s="17">
        <v>5</v>
      </c>
      <c r="AA210" s="17">
        <v>53302.6712591252</v>
      </c>
      <c r="AC210" s="10">
        <v>2015</v>
      </c>
      <c r="AD210" s="10">
        <v>5</v>
      </c>
      <c r="AE210" s="10">
        <v>235.877632262166</v>
      </c>
      <c r="AG210" s="10">
        <v>2015</v>
      </c>
      <c r="AH210" s="10">
        <v>5</v>
      </c>
      <c r="AI210" s="10">
        <v>235.99011152246399</v>
      </c>
      <c r="AK210" s="10">
        <v>2015</v>
      </c>
      <c r="AL210" s="10">
        <v>5</v>
      </c>
      <c r="AM210" s="10">
        <v>235.94621577666101</v>
      </c>
      <c r="AO210" s="10">
        <v>2015</v>
      </c>
      <c r="AP210" s="10">
        <v>5</v>
      </c>
      <c r="AQ210" s="10">
        <v>235.914831386109</v>
      </c>
      <c r="AS210" s="10">
        <v>2015</v>
      </c>
      <c r="AT210" s="10">
        <v>5</v>
      </c>
      <c r="AU210" s="10">
        <v>236.01748631096399</v>
      </c>
      <c r="AW210" s="10">
        <v>2015</v>
      </c>
      <c r="AX210" s="10">
        <v>5</v>
      </c>
      <c r="AY210" s="10">
        <v>236.02789478216499</v>
      </c>
    </row>
    <row r="211" spans="1:51" x14ac:dyDescent="0.25">
      <c r="A211" s="8">
        <v>2015</v>
      </c>
      <c r="B211" s="8">
        <v>6</v>
      </c>
      <c r="C211" s="10">
        <v>238.496125170759</v>
      </c>
      <c r="E211" s="10">
        <v>2015</v>
      </c>
      <c r="F211" s="10">
        <v>6</v>
      </c>
      <c r="G211" s="10">
        <v>238.30938763371799</v>
      </c>
      <c r="I211" s="10">
        <v>2015</v>
      </c>
      <c r="J211" s="10">
        <v>6</v>
      </c>
      <c r="K211" s="10">
        <v>238.31338754413699</v>
      </c>
      <c r="M211" s="10">
        <v>2015</v>
      </c>
      <c r="N211" s="10">
        <v>6</v>
      </c>
      <c r="O211" s="10">
        <v>238.29144001490599</v>
      </c>
      <c r="Q211" s="10">
        <v>2015</v>
      </c>
      <c r="R211" s="10">
        <v>6</v>
      </c>
      <c r="S211" s="10">
        <v>238.27569982737799</v>
      </c>
      <c r="U211" s="10">
        <v>2015</v>
      </c>
      <c r="V211" s="10">
        <v>6</v>
      </c>
      <c r="W211" s="10">
        <v>238.368845303352</v>
      </c>
      <c r="Y211" s="17">
        <v>2020</v>
      </c>
      <c r="Z211" s="17">
        <v>6</v>
      </c>
      <c r="AA211" s="17">
        <v>53954.452263902502</v>
      </c>
      <c r="AC211" s="10">
        <v>2015</v>
      </c>
      <c r="AD211" s="10">
        <v>6</v>
      </c>
      <c r="AE211" s="10">
        <v>238.37338371714901</v>
      </c>
      <c r="AG211" s="10">
        <v>2015</v>
      </c>
      <c r="AH211" s="10">
        <v>6</v>
      </c>
      <c r="AI211" s="10">
        <v>238.244868057693</v>
      </c>
      <c r="AK211" s="10">
        <v>2015</v>
      </c>
      <c r="AL211" s="10">
        <v>6</v>
      </c>
      <c r="AM211" s="10">
        <v>238.25526374643599</v>
      </c>
      <c r="AO211" s="10">
        <v>2015</v>
      </c>
      <c r="AP211" s="10">
        <v>6</v>
      </c>
      <c r="AQ211" s="10">
        <v>238.29900293800301</v>
      </c>
      <c r="AS211" s="10">
        <v>2015</v>
      </c>
      <c r="AT211" s="10">
        <v>6</v>
      </c>
      <c r="AU211" s="10">
        <v>238.22740700617001</v>
      </c>
      <c r="AW211" s="10">
        <v>2015</v>
      </c>
      <c r="AX211" s="10">
        <v>6</v>
      </c>
      <c r="AY211" s="10">
        <v>238.22367662028</v>
      </c>
    </row>
    <row r="212" spans="1:51" x14ac:dyDescent="0.25">
      <c r="A212" s="8">
        <v>2015</v>
      </c>
      <c r="B212" s="8">
        <v>7</v>
      </c>
      <c r="C212" s="10">
        <v>218.579617387111</v>
      </c>
      <c r="E212" s="10">
        <v>2015</v>
      </c>
      <c r="F212" s="10">
        <v>7</v>
      </c>
      <c r="G212" s="10">
        <v>217.71909686155399</v>
      </c>
      <c r="I212" s="10">
        <v>2015</v>
      </c>
      <c r="J212" s="10">
        <v>7</v>
      </c>
      <c r="K212" s="10">
        <v>217.72797754646899</v>
      </c>
      <c r="M212" s="10">
        <v>2015</v>
      </c>
      <c r="N212" s="10">
        <v>7</v>
      </c>
      <c r="O212" s="10">
        <v>217.68258051547301</v>
      </c>
      <c r="Q212" s="10">
        <v>2015</v>
      </c>
      <c r="R212" s="10">
        <v>7</v>
      </c>
      <c r="S212" s="10">
        <v>217.63138786715501</v>
      </c>
      <c r="U212" s="10">
        <v>2015</v>
      </c>
      <c r="V212" s="10">
        <v>7</v>
      </c>
      <c r="W212" s="10">
        <v>217.57541215905101</v>
      </c>
      <c r="Y212" s="17">
        <v>2020</v>
      </c>
      <c r="Z212" s="17">
        <v>7</v>
      </c>
      <c r="AA212" s="17">
        <v>54328.790816805202</v>
      </c>
      <c r="AC212" s="10">
        <v>2015</v>
      </c>
      <c r="AD212" s="10">
        <v>7</v>
      </c>
      <c r="AE212" s="10">
        <v>217.58071448921601</v>
      </c>
      <c r="AG212" s="10">
        <v>2015</v>
      </c>
      <c r="AH212" s="10">
        <v>7</v>
      </c>
      <c r="AI212" s="10">
        <v>217.53887996579601</v>
      </c>
      <c r="AK212" s="10">
        <v>2015</v>
      </c>
      <c r="AL212" s="10">
        <v>7</v>
      </c>
      <c r="AM212" s="10">
        <v>217.577446112795</v>
      </c>
      <c r="AO212" s="10">
        <v>2015</v>
      </c>
      <c r="AP212" s="10">
        <v>7</v>
      </c>
      <c r="AQ212" s="10">
        <v>217.53589040102699</v>
      </c>
      <c r="AS212" s="10">
        <v>2015</v>
      </c>
      <c r="AT212" s="10">
        <v>7</v>
      </c>
      <c r="AU212" s="10">
        <v>217.53741464967499</v>
      </c>
      <c r="AW212" s="10">
        <v>2015</v>
      </c>
      <c r="AX212" s="10">
        <v>7</v>
      </c>
      <c r="AY212" s="10">
        <v>217.533882319431</v>
      </c>
    </row>
    <row r="213" spans="1:51" x14ac:dyDescent="0.25">
      <c r="A213" s="8">
        <v>2015</v>
      </c>
      <c r="B213" s="8">
        <v>8</v>
      </c>
      <c r="C213" s="10">
        <v>228.51118767897799</v>
      </c>
      <c r="E213" s="10">
        <v>2015</v>
      </c>
      <c r="F213" s="10">
        <v>8</v>
      </c>
      <c r="G213" s="10">
        <v>228.941262723233</v>
      </c>
      <c r="I213" s="10">
        <v>2015</v>
      </c>
      <c r="J213" s="10">
        <v>8</v>
      </c>
      <c r="K213" s="10">
        <v>228.93709177641099</v>
      </c>
      <c r="M213" s="10">
        <v>2015</v>
      </c>
      <c r="N213" s="10">
        <v>8</v>
      </c>
      <c r="O213" s="10">
        <v>228.96823367143099</v>
      </c>
      <c r="Q213" s="10">
        <v>2015</v>
      </c>
      <c r="R213" s="10">
        <v>8</v>
      </c>
      <c r="S213" s="10">
        <v>228.99649004662999</v>
      </c>
      <c r="U213" s="10">
        <v>2015</v>
      </c>
      <c r="V213" s="10">
        <v>8</v>
      </c>
      <c r="W213" s="10">
        <v>229.05827190086299</v>
      </c>
      <c r="Y213" s="17">
        <v>2020</v>
      </c>
      <c r="Z213" s="17">
        <v>8</v>
      </c>
      <c r="AA213" s="17">
        <v>54901.413747960003</v>
      </c>
      <c r="AC213" s="10">
        <v>2015</v>
      </c>
      <c r="AD213" s="10">
        <v>8</v>
      </c>
      <c r="AE213" s="10">
        <v>229.05242065265699</v>
      </c>
      <c r="AG213" s="10">
        <v>2015</v>
      </c>
      <c r="AH213" s="10">
        <v>8</v>
      </c>
      <c r="AI213" s="10">
        <v>229.074819261145</v>
      </c>
      <c r="AK213" s="10">
        <v>2015</v>
      </c>
      <c r="AL213" s="10">
        <v>8</v>
      </c>
      <c r="AM213" s="10">
        <v>229.04184276613199</v>
      </c>
      <c r="AO213" s="10">
        <v>2015</v>
      </c>
      <c r="AP213" s="10">
        <v>8</v>
      </c>
      <c r="AQ213" s="10">
        <v>229.10201262385101</v>
      </c>
      <c r="AS213" s="10">
        <v>2015</v>
      </c>
      <c r="AT213" s="10">
        <v>8</v>
      </c>
      <c r="AU213" s="10">
        <v>229.033367707754</v>
      </c>
      <c r="AW213" s="10">
        <v>2015</v>
      </c>
      <c r="AX213" s="10">
        <v>8</v>
      </c>
      <c r="AY213" s="10">
        <v>229.03364937802601</v>
      </c>
    </row>
    <row r="214" spans="1:51" x14ac:dyDescent="0.25">
      <c r="A214" s="8">
        <v>2015</v>
      </c>
      <c r="B214" s="8">
        <v>9</v>
      </c>
      <c r="C214" s="10">
        <v>233.71858544970101</v>
      </c>
      <c r="E214" s="10">
        <v>2015</v>
      </c>
      <c r="F214" s="10">
        <v>9</v>
      </c>
      <c r="G214" s="10">
        <v>233.53303018741201</v>
      </c>
      <c r="I214" s="10">
        <v>2015</v>
      </c>
      <c r="J214" s="10">
        <v>9</v>
      </c>
      <c r="K214" s="10">
        <v>233.54198071202401</v>
      </c>
      <c r="M214" s="10">
        <v>2015</v>
      </c>
      <c r="N214" s="10">
        <v>9</v>
      </c>
      <c r="O214" s="10">
        <v>233.47861872902499</v>
      </c>
      <c r="Q214" s="10">
        <v>2015</v>
      </c>
      <c r="R214" s="10">
        <v>9</v>
      </c>
      <c r="S214" s="10">
        <v>233.403190036783</v>
      </c>
      <c r="U214" s="10">
        <v>2015</v>
      </c>
      <c r="V214" s="10">
        <v>9</v>
      </c>
      <c r="W214" s="10">
        <v>233.275868279642</v>
      </c>
      <c r="Y214" s="17">
        <v>2020</v>
      </c>
      <c r="Z214" s="17">
        <v>9</v>
      </c>
      <c r="AA214" s="17">
        <v>55020.206058464399</v>
      </c>
      <c r="AC214" s="10">
        <v>2015</v>
      </c>
      <c r="AD214" s="10">
        <v>9</v>
      </c>
      <c r="AE214" s="10">
        <v>233.28172658386299</v>
      </c>
      <c r="AG214" s="10">
        <v>2015</v>
      </c>
      <c r="AH214" s="10">
        <v>9</v>
      </c>
      <c r="AI214" s="10">
        <v>233.24173291322401</v>
      </c>
      <c r="AK214" s="10">
        <v>2015</v>
      </c>
      <c r="AL214" s="10">
        <v>9</v>
      </c>
      <c r="AM214" s="10">
        <v>233.310123154753</v>
      </c>
      <c r="AO214" s="10">
        <v>2015</v>
      </c>
      <c r="AP214" s="10">
        <v>9</v>
      </c>
      <c r="AQ214" s="10">
        <v>233.12235844935299</v>
      </c>
      <c r="AS214" s="10">
        <v>2015</v>
      </c>
      <c r="AT214" s="10">
        <v>9</v>
      </c>
      <c r="AU214" s="10">
        <v>233.245490773825</v>
      </c>
      <c r="AW214" s="10">
        <v>2015</v>
      </c>
      <c r="AX214" s="10">
        <v>9</v>
      </c>
      <c r="AY214" s="10">
        <v>233.240692804589</v>
      </c>
    </row>
    <row r="215" spans="1:51" x14ac:dyDescent="0.25">
      <c r="A215" s="8">
        <v>2015</v>
      </c>
      <c r="B215" s="8">
        <v>10</v>
      </c>
      <c r="C215" s="10">
        <v>220.19907981821501</v>
      </c>
      <c r="E215" s="10">
        <v>2015</v>
      </c>
      <c r="F215" s="10">
        <v>10</v>
      </c>
      <c r="G215" s="10">
        <v>220.52530893697499</v>
      </c>
      <c r="I215" s="10">
        <v>2015</v>
      </c>
      <c r="J215" s="10">
        <v>10</v>
      </c>
      <c r="K215" s="10">
        <v>220.52401977263401</v>
      </c>
      <c r="M215" s="10">
        <v>2015</v>
      </c>
      <c r="N215" s="10">
        <v>10</v>
      </c>
      <c r="O215" s="10">
        <v>220.53756804174699</v>
      </c>
      <c r="Q215" s="10">
        <v>2015</v>
      </c>
      <c r="R215" s="10">
        <v>10</v>
      </c>
      <c r="S215" s="10">
        <v>220.55278925675</v>
      </c>
      <c r="U215" s="10">
        <v>2015</v>
      </c>
      <c r="V215" s="10">
        <v>10</v>
      </c>
      <c r="W215" s="10">
        <v>220.583629963319</v>
      </c>
      <c r="Y215" s="17">
        <v>2020</v>
      </c>
      <c r="Z215" s="17">
        <v>10</v>
      </c>
      <c r="AA215" s="17">
        <v>55084.254444755701</v>
      </c>
      <c r="AC215" s="10">
        <v>2015</v>
      </c>
      <c r="AD215" s="10">
        <v>10</v>
      </c>
      <c r="AE215" s="10">
        <v>220.58016368351301</v>
      </c>
      <c r="AG215" s="10">
        <v>2015</v>
      </c>
      <c r="AH215" s="10">
        <v>10</v>
      </c>
      <c r="AI215" s="10">
        <v>220.58948857315701</v>
      </c>
      <c r="AK215" s="10">
        <v>2015</v>
      </c>
      <c r="AL215" s="10">
        <v>10</v>
      </c>
      <c r="AM215" s="10">
        <v>220.57039641273599</v>
      </c>
      <c r="AO215" s="10">
        <v>2015</v>
      </c>
      <c r="AP215" s="10">
        <v>10</v>
      </c>
      <c r="AQ215" s="10">
        <v>220.58837134432201</v>
      </c>
      <c r="AS215" s="10">
        <v>2015</v>
      </c>
      <c r="AT215" s="10">
        <v>10</v>
      </c>
      <c r="AU215" s="10">
        <v>220.570729461469</v>
      </c>
      <c r="AW215" s="10">
        <v>2015</v>
      </c>
      <c r="AX215" s="10">
        <v>10</v>
      </c>
      <c r="AY215" s="10">
        <v>220.570182993537</v>
      </c>
    </row>
    <row r="216" spans="1:51" x14ac:dyDescent="0.25">
      <c r="A216" s="8">
        <v>2015</v>
      </c>
      <c r="B216" s="8">
        <v>11</v>
      </c>
      <c r="C216" s="10">
        <v>219.33418609202499</v>
      </c>
      <c r="E216" s="10">
        <v>2015</v>
      </c>
      <c r="F216" s="10">
        <v>11</v>
      </c>
      <c r="G216" s="10">
        <v>219.927355342873</v>
      </c>
      <c r="I216" s="10">
        <v>2015</v>
      </c>
      <c r="J216" s="10">
        <v>11</v>
      </c>
      <c r="K216" s="10">
        <v>219.92238827145599</v>
      </c>
      <c r="M216" s="10">
        <v>2015</v>
      </c>
      <c r="N216" s="10">
        <v>11</v>
      </c>
      <c r="O216" s="10">
        <v>219.95216385240801</v>
      </c>
      <c r="Q216" s="10">
        <v>2015</v>
      </c>
      <c r="R216" s="10">
        <v>11</v>
      </c>
      <c r="S216" s="10">
        <v>219.99068111049201</v>
      </c>
      <c r="U216" s="10">
        <v>2015</v>
      </c>
      <c r="V216" s="10">
        <v>11</v>
      </c>
      <c r="W216" s="10">
        <v>220.03384886887099</v>
      </c>
      <c r="Y216" s="17">
        <v>2020</v>
      </c>
      <c r="Z216" s="17">
        <v>11</v>
      </c>
      <c r="AA216" s="17">
        <v>54618.983892622498</v>
      </c>
      <c r="AC216" s="10">
        <v>2015</v>
      </c>
      <c r="AD216" s="10">
        <v>11</v>
      </c>
      <c r="AE216" s="10">
        <v>220.028384871795</v>
      </c>
      <c r="AG216" s="10">
        <v>2015</v>
      </c>
      <c r="AH216" s="10">
        <v>11</v>
      </c>
      <c r="AI216" s="10">
        <v>220.05849471977299</v>
      </c>
      <c r="AK216" s="10">
        <v>2015</v>
      </c>
      <c r="AL216" s="10">
        <v>11</v>
      </c>
      <c r="AM216" s="10">
        <v>220.02412667016901</v>
      </c>
      <c r="AO216" s="10">
        <v>2015</v>
      </c>
      <c r="AP216" s="10">
        <v>11</v>
      </c>
      <c r="AQ216" s="10">
        <v>220.060975503176</v>
      </c>
      <c r="AS216" s="10">
        <v>2015</v>
      </c>
      <c r="AT216" s="10">
        <v>11</v>
      </c>
      <c r="AU216" s="10">
        <v>220.02754036842799</v>
      </c>
      <c r="AW216" s="10">
        <v>2015</v>
      </c>
      <c r="AX216" s="10">
        <v>11</v>
      </c>
      <c r="AY216" s="10">
        <v>220.02645458870199</v>
      </c>
    </row>
    <row r="217" spans="1:51" x14ac:dyDescent="0.25">
      <c r="A217" s="8">
        <v>2015</v>
      </c>
      <c r="B217" s="8">
        <v>12</v>
      </c>
      <c r="C217" s="10">
        <v>204.11150205759799</v>
      </c>
      <c r="E217" s="10">
        <v>2015</v>
      </c>
      <c r="F217" s="10">
        <v>12</v>
      </c>
      <c r="G217" s="10">
        <v>201.32705266742801</v>
      </c>
      <c r="I217" s="10">
        <v>2015</v>
      </c>
      <c r="J217" s="10">
        <v>12</v>
      </c>
      <c r="K217" s="10">
        <v>201.33512070631099</v>
      </c>
      <c r="M217" s="10">
        <v>2015</v>
      </c>
      <c r="N217" s="10">
        <v>12</v>
      </c>
      <c r="O217" s="10">
        <v>201.278111845865</v>
      </c>
      <c r="Q217" s="10">
        <v>2015</v>
      </c>
      <c r="R217" s="10">
        <v>12</v>
      </c>
      <c r="S217" s="10">
        <v>201.233430138523</v>
      </c>
      <c r="U217" s="10">
        <v>2015</v>
      </c>
      <c r="V217" s="10">
        <v>12</v>
      </c>
      <c r="W217" s="10">
        <v>201.13810968537501</v>
      </c>
      <c r="Y217" s="17">
        <v>2020</v>
      </c>
      <c r="Z217" s="17">
        <v>12</v>
      </c>
      <c r="AA217" s="17">
        <v>54138.761223683803</v>
      </c>
      <c r="AC217" s="10">
        <v>2015</v>
      </c>
      <c r="AD217" s="10">
        <v>12</v>
      </c>
      <c r="AE217" s="10">
        <v>201.145487065803</v>
      </c>
      <c r="AG217" s="10">
        <v>2015</v>
      </c>
      <c r="AH217" s="10">
        <v>12</v>
      </c>
      <c r="AI217" s="10">
        <v>201.13297646050401</v>
      </c>
      <c r="AK217" s="10">
        <v>2015</v>
      </c>
      <c r="AL217" s="10">
        <v>12</v>
      </c>
      <c r="AM217" s="10">
        <v>201.15882283262499</v>
      </c>
      <c r="AO217" s="10">
        <v>2015</v>
      </c>
      <c r="AP217" s="10">
        <v>12</v>
      </c>
      <c r="AQ217" s="10">
        <v>201.09009285438</v>
      </c>
      <c r="AS217" s="10">
        <v>2015</v>
      </c>
      <c r="AT217" s="10">
        <v>12</v>
      </c>
      <c r="AU217" s="10">
        <v>201.17409666497099</v>
      </c>
      <c r="AW217" s="10">
        <v>2015</v>
      </c>
      <c r="AX217" s="10">
        <v>12</v>
      </c>
      <c r="AY217" s="10">
        <v>201.173948171429</v>
      </c>
    </row>
    <row r="218" spans="1:51" x14ac:dyDescent="0.25">
      <c r="A218" s="8">
        <v>2016</v>
      </c>
      <c r="B218" s="8">
        <v>1</v>
      </c>
      <c r="C218" s="10">
        <v>222.20458947634501</v>
      </c>
      <c r="E218" s="10">
        <v>2016</v>
      </c>
      <c r="F218" s="10">
        <v>1</v>
      </c>
      <c r="G218" s="10">
        <v>223.67483860218101</v>
      </c>
      <c r="I218" s="10">
        <v>2016</v>
      </c>
      <c r="J218" s="10">
        <v>1</v>
      </c>
      <c r="K218" s="10">
        <v>223.663851589209</v>
      </c>
      <c r="M218" s="10">
        <v>2016</v>
      </c>
      <c r="N218" s="10">
        <v>1</v>
      </c>
      <c r="O218" s="10">
        <v>223.721795272268</v>
      </c>
      <c r="Q218" s="10">
        <v>2016</v>
      </c>
      <c r="R218" s="10">
        <v>1</v>
      </c>
      <c r="S218" s="10">
        <v>223.801283106498</v>
      </c>
      <c r="U218" s="10">
        <v>2016</v>
      </c>
      <c r="V218" s="10">
        <v>1</v>
      </c>
      <c r="W218" s="10">
        <v>223.87685411999001</v>
      </c>
      <c r="Y218" s="17">
        <v>2021</v>
      </c>
      <c r="Z218" s="17">
        <v>1</v>
      </c>
      <c r="AA218" s="17">
        <v>54150.677410955599</v>
      </c>
      <c r="AC218" s="10">
        <v>2016</v>
      </c>
      <c r="AD218" s="10">
        <v>1</v>
      </c>
      <c r="AE218" s="10">
        <v>223.86918106623199</v>
      </c>
      <c r="AG218" s="10">
        <v>2016</v>
      </c>
      <c r="AH218" s="10">
        <v>1</v>
      </c>
      <c r="AI218" s="10">
        <v>223.92365708263901</v>
      </c>
      <c r="AK218" s="10">
        <v>2016</v>
      </c>
      <c r="AL218" s="10">
        <v>1</v>
      </c>
      <c r="AM218" s="10">
        <v>223.87407487787499</v>
      </c>
      <c r="AO218" s="10">
        <v>2016</v>
      </c>
      <c r="AP218" s="10">
        <v>1</v>
      </c>
      <c r="AQ218" s="10">
        <v>223.96239453036901</v>
      </c>
      <c r="AS218" s="10">
        <v>2016</v>
      </c>
      <c r="AT218" s="10">
        <v>1</v>
      </c>
      <c r="AU218" s="10">
        <v>223.90233106315799</v>
      </c>
      <c r="AW218" s="10">
        <v>2016</v>
      </c>
      <c r="AX218" s="10">
        <v>1</v>
      </c>
      <c r="AY218" s="10">
        <v>223.90486779915699</v>
      </c>
    </row>
    <row r="219" spans="1:51" x14ac:dyDescent="0.25">
      <c r="A219" s="8">
        <v>2016</v>
      </c>
      <c r="B219" s="8">
        <v>2</v>
      </c>
      <c r="C219" s="10">
        <v>221.41984065639701</v>
      </c>
      <c r="E219" s="10">
        <v>2016</v>
      </c>
      <c r="F219" s="10">
        <v>2</v>
      </c>
      <c r="G219" s="10">
        <v>222.34636003986699</v>
      </c>
      <c r="I219" s="10">
        <v>2016</v>
      </c>
      <c r="J219" s="10">
        <v>2</v>
      </c>
      <c r="K219" s="10">
        <v>222.35115780299799</v>
      </c>
      <c r="M219" s="10">
        <v>2016</v>
      </c>
      <c r="N219" s="10">
        <v>2</v>
      </c>
      <c r="O219" s="10">
        <v>222.351755755922</v>
      </c>
      <c r="Q219" s="10">
        <v>2016</v>
      </c>
      <c r="R219" s="10">
        <v>2</v>
      </c>
      <c r="S219" s="10">
        <v>222.40060573586899</v>
      </c>
      <c r="U219" s="10">
        <v>2016</v>
      </c>
      <c r="V219" s="10">
        <v>2</v>
      </c>
      <c r="W219" s="10">
        <v>222.250875374874</v>
      </c>
      <c r="Y219" s="17">
        <v>2021</v>
      </c>
      <c r="Z219" s="17">
        <v>2</v>
      </c>
      <c r="AA219" s="17">
        <v>54005.507174448001</v>
      </c>
      <c r="AC219" s="10">
        <v>2016</v>
      </c>
      <c r="AD219" s="10">
        <v>2</v>
      </c>
      <c r="AE219" s="10">
        <v>222.248083069979</v>
      </c>
      <c r="AG219" s="10">
        <v>2016</v>
      </c>
      <c r="AH219" s="10">
        <v>2</v>
      </c>
      <c r="AI219" s="10">
        <v>222.234832703282</v>
      </c>
      <c r="AK219" s="10">
        <v>2016</v>
      </c>
      <c r="AL219" s="10">
        <v>2</v>
      </c>
      <c r="AM219" s="10">
        <v>222.252350208911</v>
      </c>
      <c r="AO219" s="10">
        <v>2016</v>
      </c>
      <c r="AP219" s="10">
        <v>2</v>
      </c>
      <c r="AQ219" s="10">
        <v>222.14368039961801</v>
      </c>
      <c r="AS219" s="10">
        <v>2016</v>
      </c>
      <c r="AT219" s="10">
        <v>2</v>
      </c>
      <c r="AU219" s="10">
        <v>221.591664372129</v>
      </c>
      <c r="AW219" s="10">
        <v>2016</v>
      </c>
      <c r="AX219" s="10">
        <v>2</v>
      </c>
      <c r="AY219" s="10">
        <v>221.48634377831999</v>
      </c>
    </row>
    <row r="220" spans="1:51" x14ac:dyDescent="0.25">
      <c r="A220" s="8">
        <v>2016</v>
      </c>
      <c r="B220" s="8">
        <v>3</v>
      </c>
      <c r="C220" s="10">
        <v>221.072401909429</v>
      </c>
      <c r="E220" s="10">
        <v>2016</v>
      </c>
      <c r="F220" s="10">
        <v>3</v>
      </c>
      <c r="G220" s="10">
        <v>219.623155425427</v>
      </c>
      <c r="I220" s="10">
        <v>2016</v>
      </c>
      <c r="J220" s="10">
        <v>3</v>
      </c>
      <c r="K220" s="10">
        <v>219.613012659498</v>
      </c>
      <c r="M220" s="10">
        <v>2016</v>
      </c>
      <c r="N220" s="10">
        <v>3</v>
      </c>
      <c r="O220" s="10">
        <v>219.58815283557399</v>
      </c>
      <c r="Q220" s="10">
        <v>2016</v>
      </c>
      <c r="R220" s="10">
        <v>3</v>
      </c>
      <c r="S220" s="10">
        <v>219.46841788555801</v>
      </c>
      <c r="U220" s="10">
        <v>2016</v>
      </c>
      <c r="V220" s="10">
        <v>3</v>
      </c>
      <c r="W220" s="10">
        <v>219.19958611395001</v>
      </c>
      <c r="Y220" s="17">
        <v>2021</v>
      </c>
      <c r="Z220" s="17">
        <v>3</v>
      </c>
      <c r="AA220" s="17">
        <v>52841.889729415998</v>
      </c>
      <c r="AC220" s="10">
        <v>2016</v>
      </c>
      <c r="AD220" s="10">
        <v>3</v>
      </c>
      <c r="AE220" s="10">
        <v>219.22059407610001</v>
      </c>
      <c r="AG220" s="10">
        <v>2016</v>
      </c>
      <c r="AH220" s="10">
        <v>3</v>
      </c>
      <c r="AI220" s="10">
        <v>219.21878500505801</v>
      </c>
      <c r="AK220" s="10">
        <v>2016</v>
      </c>
      <c r="AL220" s="10">
        <v>3</v>
      </c>
      <c r="AM220" s="10">
        <v>219.25109121815601</v>
      </c>
      <c r="AO220" s="10">
        <v>2016</v>
      </c>
      <c r="AP220" s="10">
        <v>3</v>
      </c>
      <c r="AQ220" s="10">
        <v>219.45835827546099</v>
      </c>
      <c r="AS220" s="10">
        <v>2016</v>
      </c>
      <c r="AT220" s="10">
        <v>3</v>
      </c>
      <c r="AU220" s="10">
        <v>219.24056393185501</v>
      </c>
      <c r="AW220" s="10">
        <v>2016</v>
      </c>
      <c r="AX220" s="10">
        <v>3</v>
      </c>
      <c r="AY220" s="10">
        <v>219.239751088183</v>
      </c>
    </row>
    <row r="221" spans="1:51" x14ac:dyDescent="0.25">
      <c r="A221" s="8">
        <v>2016</v>
      </c>
      <c r="B221" s="8">
        <v>4</v>
      </c>
      <c r="C221" s="10">
        <v>212.407046554045</v>
      </c>
      <c r="E221" s="10">
        <v>2016</v>
      </c>
      <c r="F221" s="10">
        <v>4</v>
      </c>
      <c r="G221" s="10">
        <v>213.90950703623099</v>
      </c>
      <c r="I221" s="10">
        <v>2016</v>
      </c>
      <c r="J221" s="10">
        <v>4</v>
      </c>
      <c r="K221" s="10">
        <v>213.91679364041099</v>
      </c>
      <c r="M221" s="10">
        <v>2016</v>
      </c>
      <c r="N221" s="10">
        <v>4</v>
      </c>
      <c r="O221" s="10">
        <v>213.94225506267799</v>
      </c>
      <c r="Q221" s="10">
        <v>2016</v>
      </c>
      <c r="R221" s="10">
        <v>4</v>
      </c>
      <c r="S221" s="10">
        <v>214.101320151523</v>
      </c>
      <c r="U221" s="10">
        <v>2016</v>
      </c>
      <c r="V221" s="10">
        <v>4</v>
      </c>
      <c r="W221" s="10">
        <v>214.32559927479801</v>
      </c>
      <c r="Y221" s="17">
        <v>2021</v>
      </c>
      <c r="Z221" s="17">
        <v>4</v>
      </c>
      <c r="AA221" s="17">
        <v>51315.539292698399</v>
      </c>
      <c r="AC221" s="10">
        <v>2016</v>
      </c>
      <c r="AD221" s="10">
        <v>4</v>
      </c>
      <c r="AE221" s="10">
        <v>214.31327415572099</v>
      </c>
      <c r="AG221" s="10">
        <v>2016</v>
      </c>
      <c r="AH221" s="10">
        <v>4</v>
      </c>
      <c r="AI221" s="10">
        <v>214.34064615339199</v>
      </c>
      <c r="AK221" s="10">
        <v>2016</v>
      </c>
      <c r="AL221" s="10">
        <v>4</v>
      </c>
      <c r="AM221" s="10">
        <v>214.321169716263</v>
      </c>
      <c r="AO221" s="10">
        <v>2016</v>
      </c>
      <c r="AP221" s="10">
        <v>4</v>
      </c>
      <c r="AQ221" s="10">
        <v>214.37767028103301</v>
      </c>
      <c r="AS221" s="10">
        <v>2016</v>
      </c>
      <c r="AT221" s="10">
        <v>4</v>
      </c>
      <c r="AU221" s="10">
        <v>214.323254883728</v>
      </c>
      <c r="AW221" s="10">
        <v>2016</v>
      </c>
      <c r="AX221" s="10">
        <v>4</v>
      </c>
      <c r="AY221" s="10">
        <v>214.32195808514101</v>
      </c>
    </row>
    <row r="222" spans="1:51" x14ac:dyDescent="0.25">
      <c r="A222" s="8">
        <v>2016</v>
      </c>
      <c r="B222" s="8">
        <v>5</v>
      </c>
      <c r="C222" s="10">
        <v>223.72163671107</v>
      </c>
      <c r="E222" s="10">
        <v>2016</v>
      </c>
      <c r="F222" s="10">
        <v>5</v>
      </c>
      <c r="G222" s="10">
        <v>223.950947937742</v>
      </c>
      <c r="I222" s="10">
        <v>2016</v>
      </c>
      <c r="J222" s="10">
        <v>5</v>
      </c>
      <c r="K222" s="10">
        <v>223.94603988484801</v>
      </c>
      <c r="M222" s="10">
        <v>2016</v>
      </c>
      <c r="N222" s="10">
        <v>5</v>
      </c>
      <c r="O222" s="10">
        <v>223.97897747329199</v>
      </c>
      <c r="Q222" s="10">
        <v>2016</v>
      </c>
      <c r="R222" s="10">
        <v>5</v>
      </c>
      <c r="S222" s="10">
        <v>223.98163421947399</v>
      </c>
      <c r="U222" s="10">
        <v>2016</v>
      </c>
      <c r="V222" s="10">
        <v>5</v>
      </c>
      <c r="W222" s="10">
        <v>223.94593966607201</v>
      </c>
      <c r="Y222" s="17">
        <v>2021</v>
      </c>
      <c r="Z222" s="17">
        <v>5</v>
      </c>
      <c r="AA222" s="17">
        <v>49976.9735863362</v>
      </c>
      <c r="AC222" s="10">
        <v>2016</v>
      </c>
      <c r="AD222" s="10">
        <v>5</v>
      </c>
      <c r="AE222" s="10">
        <v>223.94138114911499</v>
      </c>
      <c r="AG222" s="10">
        <v>2016</v>
      </c>
      <c r="AH222" s="10">
        <v>5</v>
      </c>
      <c r="AI222" s="10">
        <v>224.03691428107001</v>
      </c>
      <c r="AK222" s="10">
        <v>2016</v>
      </c>
      <c r="AL222" s="10">
        <v>5</v>
      </c>
      <c r="AM222" s="10">
        <v>224.031315240608</v>
      </c>
      <c r="AO222" s="10">
        <v>2016</v>
      </c>
      <c r="AP222" s="10">
        <v>5</v>
      </c>
      <c r="AQ222" s="10">
        <v>223.91640361495899</v>
      </c>
      <c r="AS222" s="10">
        <v>2016</v>
      </c>
      <c r="AT222" s="10">
        <v>5</v>
      </c>
      <c r="AU222" s="10">
        <v>224.08992889000501</v>
      </c>
      <c r="AW222" s="10">
        <v>2016</v>
      </c>
      <c r="AX222" s="10">
        <v>5</v>
      </c>
      <c r="AY222" s="10">
        <v>224.098640696378</v>
      </c>
    </row>
    <row r="223" spans="1:51" x14ac:dyDescent="0.25">
      <c r="A223" s="8">
        <v>2016</v>
      </c>
      <c r="B223" s="8">
        <v>6</v>
      </c>
      <c r="C223" s="10">
        <v>210.615090953758</v>
      </c>
      <c r="E223" s="10">
        <v>2016</v>
      </c>
      <c r="F223" s="10">
        <v>6</v>
      </c>
      <c r="G223" s="10">
        <v>210.08237331358399</v>
      </c>
      <c r="I223" s="10">
        <v>2016</v>
      </c>
      <c r="J223" s="10">
        <v>6</v>
      </c>
      <c r="K223" s="10">
        <v>210.08846510102899</v>
      </c>
      <c r="M223" s="10">
        <v>2016</v>
      </c>
      <c r="N223" s="10">
        <v>6</v>
      </c>
      <c r="O223" s="10">
        <v>210.066245757898</v>
      </c>
      <c r="Q223" s="10">
        <v>2016</v>
      </c>
      <c r="R223" s="10">
        <v>6</v>
      </c>
      <c r="S223" s="10">
        <v>210.06993208144399</v>
      </c>
      <c r="U223" s="10">
        <v>2016</v>
      </c>
      <c r="V223" s="10">
        <v>6</v>
      </c>
      <c r="W223" s="10">
        <v>210.10832318071201</v>
      </c>
      <c r="Y223" s="17">
        <v>2021</v>
      </c>
      <c r="Z223" s="17">
        <v>6</v>
      </c>
      <c r="AA223" s="17">
        <v>48928.238116161701</v>
      </c>
      <c r="AC223" s="10">
        <v>2016</v>
      </c>
      <c r="AD223" s="10">
        <v>6</v>
      </c>
      <c r="AE223" s="10">
        <v>210.112676164134</v>
      </c>
      <c r="AG223" s="10">
        <v>2016</v>
      </c>
      <c r="AH223" s="10">
        <v>6</v>
      </c>
      <c r="AI223" s="10">
        <v>210.036874457815</v>
      </c>
      <c r="AK223" s="10">
        <v>2016</v>
      </c>
      <c r="AL223" s="10">
        <v>6</v>
      </c>
      <c r="AM223" s="10">
        <v>210.043737863149</v>
      </c>
      <c r="AO223" s="10">
        <v>2016</v>
      </c>
      <c r="AP223" s="10">
        <v>6</v>
      </c>
      <c r="AQ223" s="10">
        <v>210.052463657434</v>
      </c>
      <c r="AS223" s="10">
        <v>2016</v>
      </c>
      <c r="AT223" s="10">
        <v>6</v>
      </c>
      <c r="AU223" s="10">
        <v>210.021249639464</v>
      </c>
      <c r="AW223" s="10">
        <v>2016</v>
      </c>
      <c r="AX223" s="10">
        <v>6</v>
      </c>
      <c r="AY223" s="10">
        <v>210.01787049404501</v>
      </c>
    </row>
    <row r="224" spans="1:51" x14ac:dyDescent="0.25">
      <c r="A224" s="8">
        <v>2016</v>
      </c>
      <c r="B224" s="8">
        <v>7</v>
      </c>
      <c r="C224" s="10">
        <v>212.35046932285701</v>
      </c>
      <c r="E224" s="10">
        <v>2016</v>
      </c>
      <c r="F224" s="10">
        <v>7</v>
      </c>
      <c r="G224" s="10">
        <v>212.53896434576501</v>
      </c>
      <c r="I224" s="10">
        <v>2016</v>
      </c>
      <c r="J224" s="10">
        <v>7</v>
      </c>
      <c r="K224" s="10">
        <v>212.53678531531099</v>
      </c>
      <c r="M224" s="10">
        <v>2016</v>
      </c>
      <c r="N224" s="10">
        <v>7</v>
      </c>
      <c r="O224" s="10">
        <v>212.570605617187</v>
      </c>
      <c r="Q224" s="10">
        <v>2016</v>
      </c>
      <c r="R224" s="10">
        <v>7</v>
      </c>
      <c r="S224" s="10">
        <v>212.46282729904399</v>
      </c>
      <c r="U224" s="10">
        <v>2016</v>
      </c>
      <c r="V224" s="10">
        <v>7</v>
      </c>
      <c r="W224" s="10">
        <v>212.64975216054299</v>
      </c>
      <c r="Y224" s="17">
        <v>2021</v>
      </c>
      <c r="Z224" s="17">
        <v>7</v>
      </c>
      <c r="AA224" s="17">
        <v>48197.705680894898</v>
      </c>
      <c r="AC224" s="10">
        <v>2016</v>
      </c>
      <c r="AD224" s="10">
        <v>7</v>
      </c>
      <c r="AE224" s="10">
        <v>212.64416760311701</v>
      </c>
      <c r="AG224" s="10">
        <v>2016</v>
      </c>
      <c r="AH224" s="10">
        <v>7</v>
      </c>
      <c r="AI224" s="10">
        <v>212.53133869431801</v>
      </c>
      <c r="AK224" s="10">
        <v>2016</v>
      </c>
      <c r="AL224" s="10">
        <v>7</v>
      </c>
      <c r="AM224" s="10">
        <v>212.509392394972</v>
      </c>
      <c r="AO224" s="10">
        <v>2016</v>
      </c>
      <c r="AP224" s="10">
        <v>7</v>
      </c>
      <c r="AQ224" s="10">
        <v>212.604922813028</v>
      </c>
      <c r="AS224" s="10">
        <v>2016</v>
      </c>
      <c r="AT224" s="10">
        <v>7</v>
      </c>
      <c r="AU224" s="10">
        <v>212.50295102417999</v>
      </c>
      <c r="AW224" s="10">
        <v>2016</v>
      </c>
      <c r="AX224" s="10">
        <v>7</v>
      </c>
      <c r="AY224" s="10">
        <v>212.50337298322401</v>
      </c>
    </row>
    <row r="225" spans="1:51" x14ac:dyDescent="0.25">
      <c r="A225" s="8">
        <v>2016</v>
      </c>
      <c r="B225" s="8">
        <v>8</v>
      </c>
      <c r="C225" s="10">
        <v>222.211449487566</v>
      </c>
      <c r="E225" s="10">
        <v>2016</v>
      </c>
      <c r="F225" s="10">
        <v>8</v>
      </c>
      <c r="G225" s="10">
        <v>221.06675799914501</v>
      </c>
      <c r="I225" s="10">
        <v>2016</v>
      </c>
      <c r="J225" s="10">
        <v>8</v>
      </c>
      <c r="K225" s="10">
        <v>221.084015433926</v>
      </c>
      <c r="M225" s="10">
        <v>2016</v>
      </c>
      <c r="N225" s="10">
        <v>8</v>
      </c>
      <c r="O225" s="10">
        <v>221.017589218056</v>
      </c>
      <c r="Q225" s="10">
        <v>2016</v>
      </c>
      <c r="R225" s="10">
        <v>8</v>
      </c>
      <c r="S225" s="10">
        <v>221.02383018404799</v>
      </c>
      <c r="U225" s="10">
        <v>2016</v>
      </c>
      <c r="V225" s="10">
        <v>8</v>
      </c>
      <c r="W225" s="10">
        <v>220.97393791193701</v>
      </c>
      <c r="Y225" s="17">
        <v>2021</v>
      </c>
      <c r="Z225" s="17">
        <v>8</v>
      </c>
      <c r="AA225" s="17">
        <v>48203.4981968832</v>
      </c>
      <c r="AC225" s="10">
        <v>2016</v>
      </c>
      <c r="AD225" s="10">
        <v>8</v>
      </c>
      <c r="AE225" s="10">
        <v>220.97738285</v>
      </c>
      <c r="AG225" s="10">
        <v>2016</v>
      </c>
      <c r="AH225" s="10">
        <v>8</v>
      </c>
      <c r="AI225" s="10">
        <v>220.95892815284699</v>
      </c>
      <c r="AK225" s="10">
        <v>2016</v>
      </c>
      <c r="AL225" s="10">
        <v>8</v>
      </c>
      <c r="AM225" s="10">
        <v>220.97335544141299</v>
      </c>
      <c r="AO225" s="10">
        <v>2016</v>
      </c>
      <c r="AP225" s="10">
        <v>8</v>
      </c>
      <c r="AQ225" s="10">
        <v>220.940554479306</v>
      </c>
      <c r="AS225" s="10">
        <v>2016</v>
      </c>
      <c r="AT225" s="10">
        <v>8</v>
      </c>
      <c r="AU225" s="10">
        <v>220.95058387200601</v>
      </c>
      <c r="AW225" s="10">
        <v>2016</v>
      </c>
      <c r="AX225" s="10">
        <v>8</v>
      </c>
      <c r="AY225" s="10">
        <v>220.94714281509599</v>
      </c>
    </row>
    <row r="226" spans="1:51" x14ac:dyDescent="0.25">
      <c r="A226" s="8">
        <v>2016</v>
      </c>
      <c r="B226" s="8">
        <v>9</v>
      </c>
      <c r="C226" s="10">
        <v>216.00367072086601</v>
      </c>
      <c r="E226" s="10">
        <v>2016</v>
      </c>
      <c r="F226" s="10">
        <v>9</v>
      </c>
      <c r="G226" s="10">
        <v>215.71991030669599</v>
      </c>
      <c r="I226" s="10">
        <v>2016</v>
      </c>
      <c r="J226" s="10">
        <v>9</v>
      </c>
      <c r="K226" s="10">
        <v>215.733302908567</v>
      </c>
      <c r="M226" s="10">
        <v>2016</v>
      </c>
      <c r="N226" s="10">
        <v>9</v>
      </c>
      <c r="O226" s="10">
        <v>215.668171282483</v>
      </c>
      <c r="Q226" s="10">
        <v>2016</v>
      </c>
      <c r="R226" s="10">
        <v>9</v>
      </c>
      <c r="S226" s="10">
        <v>215.603475758662</v>
      </c>
      <c r="U226" s="10">
        <v>2016</v>
      </c>
      <c r="V226" s="10">
        <v>9</v>
      </c>
      <c r="W226" s="10">
        <v>215.461840657972</v>
      </c>
      <c r="Y226" s="17">
        <v>2021</v>
      </c>
      <c r="Z226" s="17">
        <v>9</v>
      </c>
      <c r="AA226" s="17">
        <v>47980.837944926301</v>
      </c>
      <c r="AC226" s="10">
        <v>2016</v>
      </c>
      <c r="AD226" s="10">
        <v>9</v>
      </c>
      <c r="AE226" s="10">
        <v>215.46692936337899</v>
      </c>
      <c r="AG226" s="10">
        <v>2016</v>
      </c>
      <c r="AH226" s="10">
        <v>9</v>
      </c>
      <c r="AI226" s="10">
        <v>215.43910751395899</v>
      </c>
      <c r="AK226" s="10">
        <v>2016</v>
      </c>
      <c r="AL226" s="10">
        <v>9</v>
      </c>
      <c r="AM226" s="10">
        <v>215.50492956257301</v>
      </c>
      <c r="AO226" s="10">
        <v>2016</v>
      </c>
      <c r="AP226" s="10">
        <v>9</v>
      </c>
      <c r="AQ226" s="10">
        <v>215.30615899985699</v>
      </c>
      <c r="AS226" s="10">
        <v>2016</v>
      </c>
      <c r="AT226" s="10">
        <v>9</v>
      </c>
      <c r="AU226" s="10">
        <v>215.44179059737999</v>
      </c>
      <c r="AW226" s="10">
        <v>2016</v>
      </c>
      <c r="AX226" s="10">
        <v>9</v>
      </c>
      <c r="AY226" s="10">
        <v>215.436576551309</v>
      </c>
    </row>
    <row r="227" spans="1:51" x14ac:dyDescent="0.25">
      <c r="A227" s="8">
        <v>2016</v>
      </c>
      <c r="B227" s="8">
        <v>10</v>
      </c>
      <c r="C227" s="10">
        <v>219.166775556316</v>
      </c>
      <c r="E227" s="10">
        <v>2016</v>
      </c>
      <c r="F227" s="10">
        <v>10</v>
      </c>
      <c r="G227" s="10">
        <v>219.89619456063801</v>
      </c>
      <c r="I227" s="10">
        <v>2016</v>
      </c>
      <c r="J227" s="10">
        <v>10</v>
      </c>
      <c r="K227" s="10">
        <v>219.892001606957</v>
      </c>
      <c r="M227" s="10">
        <v>2016</v>
      </c>
      <c r="N227" s="10">
        <v>10</v>
      </c>
      <c r="O227" s="10">
        <v>219.943354112013</v>
      </c>
      <c r="Q227" s="10">
        <v>2016</v>
      </c>
      <c r="R227" s="10">
        <v>10</v>
      </c>
      <c r="S227" s="10">
        <v>220.00372825583699</v>
      </c>
      <c r="U227" s="10">
        <v>2016</v>
      </c>
      <c r="V227" s="10">
        <v>10</v>
      </c>
      <c r="W227" s="10">
        <v>220.08652447822499</v>
      </c>
      <c r="Y227" s="17">
        <v>2021</v>
      </c>
      <c r="Z227" s="17">
        <v>10</v>
      </c>
      <c r="AA227" s="17">
        <v>49914.690203414597</v>
      </c>
      <c r="AC227" s="10">
        <v>2016</v>
      </c>
      <c r="AD227" s="10">
        <v>10</v>
      </c>
      <c r="AE227" s="10">
        <v>220.076783447428</v>
      </c>
      <c r="AG227" s="10">
        <v>2016</v>
      </c>
      <c r="AH227" s="10">
        <v>10</v>
      </c>
      <c r="AI227" s="10">
        <v>220.12043926809</v>
      </c>
      <c r="AK227" s="10">
        <v>2016</v>
      </c>
      <c r="AL227" s="10">
        <v>10</v>
      </c>
      <c r="AM227" s="10">
        <v>220.06539646881399</v>
      </c>
      <c r="AO227" s="10">
        <v>2016</v>
      </c>
      <c r="AP227" s="10">
        <v>10</v>
      </c>
      <c r="AQ227" s="10">
        <v>220.11286279978799</v>
      </c>
      <c r="AS227" s="10">
        <v>2016</v>
      </c>
      <c r="AT227" s="10">
        <v>10</v>
      </c>
      <c r="AU227" s="10">
        <v>220.077885277608</v>
      </c>
      <c r="AW227" s="10">
        <v>2016</v>
      </c>
      <c r="AX227" s="10">
        <v>10</v>
      </c>
      <c r="AY227" s="10">
        <v>220.07858253066499</v>
      </c>
    </row>
    <row r="228" spans="1:51" x14ac:dyDescent="0.25">
      <c r="A228" s="8">
        <v>2016</v>
      </c>
      <c r="B228" s="8">
        <v>11</v>
      </c>
      <c r="C228" s="10">
        <v>228.38849266944001</v>
      </c>
      <c r="E228" s="10">
        <v>2016</v>
      </c>
      <c r="F228" s="10">
        <v>11</v>
      </c>
      <c r="G228" s="10">
        <v>228.21576183866199</v>
      </c>
      <c r="I228" s="10">
        <v>2016</v>
      </c>
      <c r="J228" s="10">
        <v>11</v>
      </c>
      <c r="K228" s="10">
        <v>228.217134189132</v>
      </c>
      <c r="M228" s="10">
        <v>2016</v>
      </c>
      <c r="N228" s="10">
        <v>11</v>
      </c>
      <c r="O228" s="10">
        <v>228.20676154184201</v>
      </c>
      <c r="Q228" s="10">
        <v>2016</v>
      </c>
      <c r="R228" s="10">
        <v>11</v>
      </c>
      <c r="S228" s="10">
        <v>228.201265043104</v>
      </c>
      <c r="U228" s="10">
        <v>2016</v>
      </c>
      <c r="V228" s="10">
        <v>11</v>
      </c>
      <c r="W228" s="10">
        <v>228.174057397984</v>
      </c>
      <c r="Y228" s="17">
        <v>2021</v>
      </c>
      <c r="Z228" s="17">
        <v>11</v>
      </c>
      <c r="AA228" s="17">
        <v>51722.316174770203</v>
      </c>
      <c r="AC228" s="10">
        <v>2016</v>
      </c>
      <c r="AD228" s="10">
        <v>11</v>
      </c>
      <c r="AE228" s="10">
        <v>228.17369274009201</v>
      </c>
      <c r="AG228" s="10">
        <v>2016</v>
      </c>
      <c r="AH228" s="10">
        <v>11</v>
      </c>
      <c r="AI228" s="10">
        <v>228.17442832758499</v>
      </c>
      <c r="AK228" s="10">
        <v>2016</v>
      </c>
      <c r="AL228" s="10">
        <v>11</v>
      </c>
      <c r="AM228" s="10">
        <v>228.17426296290401</v>
      </c>
      <c r="AO228" s="10">
        <v>2016</v>
      </c>
      <c r="AP228" s="10">
        <v>11</v>
      </c>
      <c r="AQ228" s="10">
        <v>228.13798337592499</v>
      </c>
      <c r="AS228" s="10">
        <v>2016</v>
      </c>
      <c r="AT228" s="10">
        <v>11</v>
      </c>
      <c r="AU228" s="10">
        <v>228.152817130789</v>
      </c>
      <c r="AW228" s="10">
        <v>2016</v>
      </c>
      <c r="AX228" s="10">
        <v>11</v>
      </c>
      <c r="AY228" s="10">
        <v>228.14864447464299</v>
      </c>
    </row>
    <row r="229" spans="1:51" x14ac:dyDescent="0.25">
      <c r="A229" s="8">
        <v>2016</v>
      </c>
      <c r="B229" s="8">
        <v>12</v>
      </c>
      <c r="C229" s="10">
        <v>233.189151745212</v>
      </c>
      <c r="E229" s="10">
        <v>2016</v>
      </c>
      <c r="F229" s="10">
        <v>12</v>
      </c>
      <c r="G229" s="10">
        <v>231.78384570734701</v>
      </c>
      <c r="I229" s="10">
        <v>2016</v>
      </c>
      <c r="J229" s="10">
        <v>12</v>
      </c>
      <c r="K229" s="10">
        <v>231.78022641227901</v>
      </c>
      <c r="M229" s="10">
        <v>2016</v>
      </c>
      <c r="N229" s="10">
        <v>12</v>
      </c>
      <c r="O229" s="10">
        <v>231.76845347323001</v>
      </c>
      <c r="Q229" s="10">
        <v>2016</v>
      </c>
      <c r="R229" s="10">
        <v>12</v>
      </c>
      <c r="S229" s="10">
        <v>231.75708063864599</v>
      </c>
      <c r="U229" s="10">
        <v>2016</v>
      </c>
      <c r="V229" s="10">
        <v>12</v>
      </c>
      <c r="W229" s="10">
        <v>231.72414022457201</v>
      </c>
      <c r="Y229" s="17">
        <v>2021</v>
      </c>
      <c r="Z229" s="17">
        <v>12</v>
      </c>
      <c r="AA229" s="17">
        <v>52967.099754176401</v>
      </c>
      <c r="AC229" s="10">
        <v>2016</v>
      </c>
      <c r="AD229" s="10">
        <v>12</v>
      </c>
      <c r="AE229" s="10">
        <v>231.724614706876</v>
      </c>
      <c r="AG229" s="10">
        <v>2016</v>
      </c>
      <c r="AH229" s="10">
        <v>12</v>
      </c>
      <c r="AI229" s="10">
        <v>231.73718641438401</v>
      </c>
      <c r="AK229" s="10">
        <v>2016</v>
      </c>
      <c r="AL229" s="10">
        <v>12</v>
      </c>
      <c r="AM229" s="10">
        <v>231.732707576227</v>
      </c>
      <c r="AO229" s="10">
        <v>2016</v>
      </c>
      <c r="AP229" s="10">
        <v>12</v>
      </c>
      <c r="AQ229" s="10">
        <v>231.68151920499199</v>
      </c>
      <c r="AS229" s="10">
        <v>2016</v>
      </c>
      <c r="AT229" s="10">
        <v>12</v>
      </c>
      <c r="AU229" s="10">
        <v>231.751313393576</v>
      </c>
      <c r="AW229" s="10">
        <v>2016</v>
      </c>
      <c r="AX229" s="10">
        <v>12</v>
      </c>
      <c r="AY229" s="10">
        <v>231.75213016413201</v>
      </c>
    </row>
    <row r="230" spans="1:51" x14ac:dyDescent="0.25">
      <c r="A230" s="8">
        <v>2017</v>
      </c>
      <c r="B230" s="8">
        <v>1</v>
      </c>
      <c r="C230" s="10">
        <v>233.20238539878201</v>
      </c>
      <c r="E230" s="10">
        <v>2017</v>
      </c>
      <c r="F230" s="10">
        <v>1</v>
      </c>
      <c r="G230" s="10">
        <v>235.02479265650899</v>
      </c>
      <c r="I230" s="10">
        <v>2017</v>
      </c>
      <c r="J230" s="10">
        <v>1</v>
      </c>
      <c r="K230" s="10">
        <v>235.01190826205899</v>
      </c>
      <c r="M230" s="10">
        <v>2017</v>
      </c>
      <c r="N230" s="10">
        <v>1</v>
      </c>
      <c r="O230" s="10">
        <v>235.035561130377</v>
      </c>
      <c r="Q230" s="10">
        <v>2017</v>
      </c>
      <c r="R230" s="10">
        <v>1</v>
      </c>
      <c r="S230" s="10">
        <v>235.06389484208299</v>
      </c>
      <c r="U230" s="10">
        <v>2017</v>
      </c>
      <c r="V230" s="10">
        <v>1</v>
      </c>
      <c r="W230" s="10">
        <v>235.07284698240301</v>
      </c>
      <c r="Y230" s="17">
        <v>2022</v>
      </c>
      <c r="Z230" s="17">
        <v>1</v>
      </c>
      <c r="AA230" s="17">
        <v>53320.642466724399</v>
      </c>
      <c r="AC230" s="10">
        <v>2017</v>
      </c>
      <c r="AD230" s="10">
        <v>1</v>
      </c>
      <c r="AE230" s="10">
        <v>235.06927578596401</v>
      </c>
      <c r="AG230" s="10">
        <v>2017</v>
      </c>
      <c r="AH230" s="10">
        <v>1</v>
      </c>
      <c r="AI230" s="10">
        <v>235.093356361064</v>
      </c>
      <c r="AK230" s="10">
        <v>2017</v>
      </c>
      <c r="AL230" s="10">
        <v>1</v>
      </c>
      <c r="AM230" s="10">
        <v>235.078985982463</v>
      </c>
      <c r="AO230" s="10">
        <v>2017</v>
      </c>
      <c r="AP230" s="10">
        <v>1</v>
      </c>
      <c r="AQ230" s="10">
        <v>235.07295826044299</v>
      </c>
      <c r="AS230" s="10">
        <v>2017</v>
      </c>
      <c r="AT230" s="10">
        <v>1</v>
      </c>
      <c r="AU230" s="10">
        <v>235.070071834559</v>
      </c>
      <c r="AW230" s="10">
        <v>2017</v>
      </c>
      <c r="AX230" s="10">
        <v>1</v>
      </c>
      <c r="AY230" s="10">
        <v>235.06800342555201</v>
      </c>
    </row>
    <row r="231" spans="1:51" x14ac:dyDescent="0.25">
      <c r="A231" s="8">
        <v>2017</v>
      </c>
      <c r="B231" s="8">
        <v>2</v>
      </c>
      <c r="C231" s="10">
        <v>221.10791490497499</v>
      </c>
      <c r="E231" s="10">
        <v>2017</v>
      </c>
      <c r="F231" s="10">
        <v>2</v>
      </c>
      <c r="G231" s="10">
        <v>222.76706432175001</v>
      </c>
      <c r="I231" s="10">
        <v>2017</v>
      </c>
      <c r="J231" s="10">
        <v>2</v>
      </c>
      <c r="K231" s="10">
        <v>222.75388471237699</v>
      </c>
      <c r="M231" s="10">
        <v>2017</v>
      </c>
      <c r="N231" s="10">
        <v>2</v>
      </c>
      <c r="O231" s="10">
        <v>222.77067065615</v>
      </c>
      <c r="Q231" s="10">
        <v>2017</v>
      </c>
      <c r="R231" s="10">
        <v>2</v>
      </c>
      <c r="S231" s="10">
        <v>222.82393563499099</v>
      </c>
      <c r="U231" s="10">
        <v>2017</v>
      </c>
      <c r="V231" s="10">
        <v>2</v>
      </c>
      <c r="W231" s="10">
        <v>222.84077349041499</v>
      </c>
      <c r="Y231" s="17">
        <v>2022</v>
      </c>
      <c r="Z231" s="17">
        <v>2</v>
      </c>
      <c r="AA231" s="17">
        <v>52963.191606938497</v>
      </c>
      <c r="AC231" s="10">
        <v>2017</v>
      </c>
      <c r="AD231" s="10">
        <v>2</v>
      </c>
      <c r="AE231" s="10">
        <v>222.84294977143301</v>
      </c>
      <c r="AG231" s="10">
        <v>2017</v>
      </c>
      <c r="AH231" s="10">
        <v>2</v>
      </c>
      <c r="AI231" s="10">
        <v>222.88590055422799</v>
      </c>
      <c r="AK231" s="10">
        <v>2017</v>
      </c>
      <c r="AL231" s="10">
        <v>2</v>
      </c>
      <c r="AM231" s="10">
        <v>222.89588838221599</v>
      </c>
      <c r="AO231" s="10">
        <v>2017</v>
      </c>
      <c r="AP231" s="10">
        <v>2</v>
      </c>
      <c r="AQ231" s="10">
        <v>222.746466243844</v>
      </c>
      <c r="AS231" s="10">
        <v>2017</v>
      </c>
      <c r="AT231" s="10">
        <v>2</v>
      </c>
      <c r="AU231" s="10">
        <v>223.19344881172299</v>
      </c>
      <c r="AW231" s="10">
        <v>2017</v>
      </c>
      <c r="AX231" s="10">
        <v>2</v>
      </c>
      <c r="AY231" s="10">
        <v>223.241306122135</v>
      </c>
    </row>
    <row r="232" spans="1:51" x14ac:dyDescent="0.25">
      <c r="A232" s="8">
        <v>2017</v>
      </c>
      <c r="B232" s="8">
        <v>3</v>
      </c>
      <c r="C232" s="10">
        <v>235.031841117021</v>
      </c>
      <c r="E232" s="10">
        <v>2017</v>
      </c>
      <c r="F232" s="10">
        <v>3</v>
      </c>
      <c r="G232" s="10">
        <v>235.73129289961699</v>
      </c>
      <c r="I232" s="10">
        <v>2017</v>
      </c>
      <c r="J232" s="10">
        <v>3</v>
      </c>
      <c r="K232" s="10">
        <v>235.73622675537899</v>
      </c>
      <c r="M232" s="10">
        <v>2017</v>
      </c>
      <c r="N232" s="10">
        <v>3</v>
      </c>
      <c r="O232" s="10">
        <v>235.7483756032</v>
      </c>
      <c r="Q232" s="10">
        <v>2017</v>
      </c>
      <c r="R232" s="10">
        <v>3</v>
      </c>
      <c r="S232" s="10">
        <v>235.832604744267</v>
      </c>
      <c r="U232" s="10">
        <v>2017</v>
      </c>
      <c r="V232" s="10">
        <v>3</v>
      </c>
      <c r="W232" s="10">
        <v>235.94045046322501</v>
      </c>
      <c r="Y232" s="17">
        <v>2022</v>
      </c>
      <c r="Z232" s="17">
        <v>3</v>
      </c>
      <c r="AA232" s="17">
        <v>52520.878779478298</v>
      </c>
      <c r="AC232" s="10">
        <v>2017</v>
      </c>
      <c r="AD232" s="10">
        <v>3</v>
      </c>
      <c r="AE232" s="10">
        <v>235.95004956216999</v>
      </c>
      <c r="AG232" s="10">
        <v>2017</v>
      </c>
      <c r="AH232" s="10">
        <v>3</v>
      </c>
      <c r="AI232" s="10">
        <v>235.95398557569601</v>
      </c>
      <c r="AK232" s="10">
        <v>2017</v>
      </c>
      <c r="AL232" s="10">
        <v>3</v>
      </c>
      <c r="AM232" s="10">
        <v>235.98603645328399</v>
      </c>
      <c r="AO232" s="10">
        <v>2017</v>
      </c>
      <c r="AP232" s="10">
        <v>3</v>
      </c>
      <c r="AQ232" s="10">
        <v>236.52761247310599</v>
      </c>
      <c r="AS232" s="10">
        <v>2017</v>
      </c>
      <c r="AT232" s="10">
        <v>3</v>
      </c>
      <c r="AU232" s="10">
        <v>235.976906337803</v>
      </c>
      <c r="AW232" s="10">
        <v>2017</v>
      </c>
      <c r="AX232" s="10">
        <v>3</v>
      </c>
      <c r="AY232" s="10">
        <v>235.97408309685301</v>
      </c>
    </row>
    <row r="233" spans="1:51" x14ac:dyDescent="0.25">
      <c r="A233" s="8">
        <v>2017</v>
      </c>
      <c r="B233" s="8">
        <v>4</v>
      </c>
      <c r="C233" s="10">
        <v>233.60119017377801</v>
      </c>
      <c r="E233" s="10">
        <v>2017</v>
      </c>
      <c r="F233" s="10">
        <v>4</v>
      </c>
      <c r="G233" s="10">
        <v>233.033864495736</v>
      </c>
      <c r="I233" s="10">
        <v>2017</v>
      </c>
      <c r="J233" s="10">
        <v>4</v>
      </c>
      <c r="K233" s="10">
        <v>233.00617458494301</v>
      </c>
      <c r="M233" s="10">
        <v>2017</v>
      </c>
      <c r="N233" s="10">
        <v>4</v>
      </c>
      <c r="O233" s="10">
        <v>233.06487219382899</v>
      </c>
      <c r="Q233" s="10">
        <v>2017</v>
      </c>
      <c r="R233" s="10">
        <v>4</v>
      </c>
      <c r="S233" s="10">
        <v>233.056470305396</v>
      </c>
      <c r="U233" s="10">
        <v>2017</v>
      </c>
      <c r="V233" s="10">
        <v>4</v>
      </c>
      <c r="W233" s="10">
        <v>232.975218645962</v>
      </c>
      <c r="Y233" s="17">
        <v>2022</v>
      </c>
      <c r="Z233" s="17">
        <v>4</v>
      </c>
      <c r="AA233" s="17">
        <v>52042.056410095101</v>
      </c>
      <c r="AC233" s="10">
        <v>2017</v>
      </c>
      <c r="AD233" s="10">
        <v>4</v>
      </c>
      <c r="AE233" s="10">
        <v>232.97419624625101</v>
      </c>
      <c r="AG233" s="10">
        <v>2017</v>
      </c>
      <c r="AH233" s="10">
        <v>4</v>
      </c>
      <c r="AI233" s="10">
        <v>233.03395815883599</v>
      </c>
      <c r="AK233" s="10">
        <v>2017</v>
      </c>
      <c r="AL233" s="10">
        <v>4</v>
      </c>
      <c r="AM233" s="10">
        <v>232.99611660422801</v>
      </c>
      <c r="AO233" s="10">
        <v>2017</v>
      </c>
      <c r="AP233" s="10">
        <v>4</v>
      </c>
      <c r="AQ233" s="10">
        <v>233.02810687720299</v>
      </c>
      <c r="AS233" s="10">
        <v>2017</v>
      </c>
      <c r="AT233" s="10">
        <v>4</v>
      </c>
      <c r="AU233" s="10">
        <v>233.003807318773</v>
      </c>
      <c r="AW233" s="10">
        <v>2017</v>
      </c>
      <c r="AX233" s="10">
        <v>4</v>
      </c>
      <c r="AY233" s="10">
        <v>233.00529895132499</v>
      </c>
    </row>
    <row r="234" spans="1:51" x14ac:dyDescent="0.25">
      <c r="A234" s="8">
        <v>2017</v>
      </c>
      <c r="B234" s="8">
        <v>5</v>
      </c>
      <c r="C234" s="10">
        <v>234.06347645410199</v>
      </c>
      <c r="E234" s="10">
        <v>2017</v>
      </c>
      <c r="F234" s="10">
        <v>5</v>
      </c>
      <c r="G234" s="10">
        <v>233.237036301605</v>
      </c>
      <c r="I234" s="10">
        <v>2017</v>
      </c>
      <c r="J234" s="10">
        <v>5</v>
      </c>
      <c r="K234" s="10">
        <v>233.23791973674901</v>
      </c>
      <c r="M234" s="10">
        <v>2017</v>
      </c>
      <c r="N234" s="10">
        <v>5</v>
      </c>
      <c r="O234" s="10">
        <v>233.231131669446</v>
      </c>
      <c r="Q234" s="10">
        <v>2017</v>
      </c>
      <c r="R234" s="10">
        <v>5</v>
      </c>
      <c r="S234" s="10">
        <v>233.18929844695299</v>
      </c>
      <c r="U234" s="10">
        <v>2017</v>
      </c>
      <c r="V234" s="10">
        <v>5</v>
      </c>
      <c r="W234" s="10">
        <v>233.07917855401701</v>
      </c>
      <c r="Y234" s="17">
        <v>2022</v>
      </c>
      <c r="Z234" s="17">
        <v>5</v>
      </c>
      <c r="AA234" s="17">
        <v>51172.934352931101</v>
      </c>
      <c r="AC234" s="10">
        <v>2017</v>
      </c>
      <c r="AD234" s="10">
        <v>5</v>
      </c>
      <c r="AE234" s="10">
        <v>233.07865457624601</v>
      </c>
      <c r="AG234" s="10">
        <v>2017</v>
      </c>
      <c r="AH234" s="10">
        <v>5</v>
      </c>
      <c r="AI234" s="10">
        <v>233.15322157744501</v>
      </c>
      <c r="AK234" s="10">
        <v>2017</v>
      </c>
      <c r="AL234" s="10">
        <v>5</v>
      </c>
      <c r="AM234" s="10">
        <v>233.18821648558199</v>
      </c>
      <c r="AO234" s="10">
        <v>2017</v>
      </c>
      <c r="AP234" s="10">
        <v>5</v>
      </c>
      <c r="AQ234" s="10">
        <v>232.96607530423199</v>
      </c>
      <c r="AS234" s="10">
        <v>2017</v>
      </c>
      <c r="AT234" s="10">
        <v>5</v>
      </c>
      <c r="AU234" s="10">
        <v>233.22454846434201</v>
      </c>
      <c r="AW234" s="10">
        <v>2017</v>
      </c>
      <c r="AX234" s="10">
        <v>5</v>
      </c>
      <c r="AY234" s="10">
        <v>233.23034371451101</v>
      </c>
    </row>
    <row r="235" spans="1:51" x14ac:dyDescent="0.25">
      <c r="A235" s="8">
        <v>2017</v>
      </c>
      <c r="B235" s="8">
        <v>6</v>
      </c>
      <c r="C235" s="10">
        <v>236.22045929608001</v>
      </c>
      <c r="E235" s="10">
        <v>2017</v>
      </c>
      <c r="F235" s="10">
        <v>6</v>
      </c>
      <c r="G235" s="10">
        <v>234.99623770484899</v>
      </c>
      <c r="I235" s="10">
        <v>2017</v>
      </c>
      <c r="J235" s="10">
        <v>6</v>
      </c>
      <c r="K235" s="10">
        <v>235.008272435289</v>
      </c>
      <c r="M235" s="10">
        <v>2017</v>
      </c>
      <c r="N235" s="10">
        <v>6</v>
      </c>
      <c r="O235" s="10">
        <v>234.97987016302599</v>
      </c>
      <c r="Q235" s="10">
        <v>2017</v>
      </c>
      <c r="R235" s="10">
        <v>6</v>
      </c>
      <c r="S235" s="10">
        <v>234.997941873705</v>
      </c>
      <c r="U235" s="10">
        <v>2017</v>
      </c>
      <c r="V235" s="10">
        <v>6</v>
      </c>
      <c r="W235" s="10">
        <v>234.979586144558</v>
      </c>
      <c r="Y235" s="17">
        <v>2022</v>
      </c>
      <c r="Z235" s="17">
        <v>6</v>
      </c>
      <c r="AA235" s="17">
        <v>50992.9780899201</v>
      </c>
      <c r="AC235" s="10">
        <v>2017</v>
      </c>
      <c r="AD235" s="10">
        <v>6</v>
      </c>
      <c r="AE235" s="10">
        <v>234.98370111603899</v>
      </c>
      <c r="AG235" s="10">
        <v>2017</v>
      </c>
      <c r="AH235" s="10">
        <v>6</v>
      </c>
      <c r="AI235" s="10">
        <v>234.954789684226</v>
      </c>
      <c r="AK235" s="10">
        <v>2017</v>
      </c>
      <c r="AL235" s="10">
        <v>6</v>
      </c>
      <c r="AM235" s="10">
        <v>234.95933479819499</v>
      </c>
      <c r="AO235" s="10">
        <v>2017</v>
      </c>
      <c r="AP235" s="10">
        <v>6</v>
      </c>
      <c r="AQ235" s="10">
        <v>234.91326051838101</v>
      </c>
      <c r="AS235" s="10">
        <v>2017</v>
      </c>
      <c r="AT235" s="10">
        <v>6</v>
      </c>
      <c r="AU235" s="10">
        <v>234.93625085185201</v>
      </c>
      <c r="AW235" s="10">
        <v>2017</v>
      </c>
      <c r="AX235" s="10">
        <v>6</v>
      </c>
      <c r="AY235" s="10">
        <v>234.932875128067</v>
      </c>
    </row>
    <row r="236" spans="1:51" x14ac:dyDescent="0.25">
      <c r="A236" s="8">
        <v>2017</v>
      </c>
      <c r="B236" s="8">
        <v>7</v>
      </c>
      <c r="C236" s="10">
        <v>236.46783499524801</v>
      </c>
      <c r="E236" s="10">
        <v>2017</v>
      </c>
      <c r="F236" s="10">
        <v>7</v>
      </c>
      <c r="G236" s="10">
        <v>236.612037849736</v>
      </c>
      <c r="I236" s="10">
        <v>2017</v>
      </c>
      <c r="J236" s="10">
        <v>7</v>
      </c>
      <c r="K236" s="10">
        <v>236.61750105547699</v>
      </c>
      <c r="M236" s="10">
        <v>2017</v>
      </c>
      <c r="N236" s="10">
        <v>7</v>
      </c>
      <c r="O236" s="10">
        <v>236.64633259144099</v>
      </c>
      <c r="Q236" s="10">
        <v>2017</v>
      </c>
      <c r="R236" s="10">
        <v>7</v>
      </c>
      <c r="S236" s="10">
        <v>236.40621886920599</v>
      </c>
      <c r="U236" s="10">
        <v>2017</v>
      </c>
      <c r="V236" s="10">
        <v>7</v>
      </c>
      <c r="W236" s="10">
        <v>236.71626527749399</v>
      </c>
      <c r="Y236" s="17">
        <v>2022</v>
      </c>
      <c r="Z236" s="17">
        <v>7</v>
      </c>
      <c r="AA236" s="17">
        <v>49059.093090408802</v>
      </c>
      <c r="AC236" s="10">
        <v>2017</v>
      </c>
      <c r="AD236" s="10">
        <v>7</v>
      </c>
      <c r="AE236" s="10">
        <v>236.710991410942</v>
      </c>
      <c r="AG236" s="10">
        <v>2017</v>
      </c>
      <c r="AH236" s="10">
        <v>7</v>
      </c>
      <c r="AI236" s="10">
        <v>236.46688825682301</v>
      </c>
      <c r="AK236" s="10">
        <v>2017</v>
      </c>
      <c r="AL236" s="10">
        <v>7</v>
      </c>
      <c r="AM236" s="10">
        <v>236.44224889357699</v>
      </c>
      <c r="AO236" s="10">
        <v>2017</v>
      </c>
      <c r="AP236" s="10">
        <v>7</v>
      </c>
      <c r="AQ236" s="10">
        <v>236.57066547863101</v>
      </c>
      <c r="AS236" s="10">
        <v>2017</v>
      </c>
      <c r="AT236" s="10">
        <v>7</v>
      </c>
      <c r="AU236" s="10">
        <v>236.43474855868701</v>
      </c>
      <c r="AW236" s="10">
        <v>2017</v>
      </c>
      <c r="AX236" s="10">
        <v>7</v>
      </c>
      <c r="AY236" s="10">
        <v>236.43484208122999</v>
      </c>
    </row>
    <row r="237" spans="1:51" x14ac:dyDescent="0.25">
      <c r="A237" s="8">
        <v>2017</v>
      </c>
      <c r="B237" s="8">
        <v>8</v>
      </c>
      <c r="C237" s="10">
        <v>235.315886725832</v>
      </c>
      <c r="E237" s="10">
        <v>2017</v>
      </c>
      <c r="F237" s="10">
        <v>8</v>
      </c>
      <c r="G237" s="10">
        <v>233.82465293873199</v>
      </c>
      <c r="I237" s="10">
        <v>2017</v>
      </c>
      <c r="J237" s="10">
        <v>8</v>
      </c>
      <c r="K237" s="10">
        <v>233.85741622095699</v>
      </c>
      <c r="M237" s="10">
        <v>2017</v>
      </c>
      <c r="N237" s="10">
        <v>8</v>
      </c>
      <c r="O237" s="10">
        <v>233.75480720191501</v>
      </c>
      <c r="Q237" s="10">
        <v>2017</v>
      </c>
      <c r="R237" s="10">
        <v>8</v>
      </c>
      <c r="S237" s="10">
        <v>233.82131334616901</v>
      </c>
      <c r="U237" s="10">
        <v>2017</v>
      </c>
      <c r="V237" s="10">
        <v>8</v>
      </c>
      <c r="W237" s="10">
        <v>233.75836805170999</v>
      </c>
      <c r="Y237" s="17">
        <v>2022</v>
      </c>
      <c r="Z237" s="17">
        <v>8</v>
      </c>
      <c r="AA237" s="17">
        <v>47595.926297353297</v>
      </c>
      <c r="AC237" s="10">
        <v>2017</v>
      </c>
      <c r="AD237" s="10">
        <v>8</v>
      </c>
      <c r="AE237" s="10">
        <v>233.76126352869099</v>
      </c>
      <c r="AG237" s="10">
        <v>2017</v>
      </c>
      <c r="AH237" s="10">
        <v>8</v>
      </c>
      <c r="AI237" s="10">
        <v>233.75712620951299</v>
      </c>
      <c r="AK237" s="10">
        <v>2017</v>
      </c>
      <c r="AL237" s="10">
        <v>8</v>
      </c>
      <c r="AM237" s="10">
        <v>233.75756089344799</v>
      </c>
      <c r="AO237" s="10">
        <v>2017</v>
      </c>
      <c r="AP237" s="10">
        <v>8</v>
      </c>
      <c r="AQ237" s="10">
        <v>233.69576849768799</v>
      </c>
      <c r="AS237" s="10">
        <v>2017</v>
      </c>
      <c r="AT237" s="10">
        <v>8</v>
      </c>
      <c r="AU237" s="10">
        <v>233.73539098908299</v>
      </c>
      <c r="AW237" s="10">
        <v>2017</v>
      </c>
      <c r="AX237" s="10">
        <v>8</v>
      </c>
      <c r="AY237" s="10">
        <v>233.731884615285</v>
      </c>
    </row>
    <row r="238" spans="1:51" x14ac:dyDescent="0.25">
      <c r="A238" s="8">
        <v>2017</v>
      </c>
      <c r="B238" s="8">
        <v>9</v>
      </c>
      <c r="C238" s="10">
        <v>239.63795141173401</v>
      </c>
      <c r="E238" s="10">
        <v>2017</v>
      </c>
      <c r="F238" s="10">
        <v>9</v>
      </c>
      <c r="G238" s="10">
        <v>239.68376597593101</v>
      </c>
      <c r="I238" s="10">
        <v>2017</v>
      </c>
      <c r="J238" s="10">
        <v>9</v>
      </c>
      <c r="K238" s="10">
        <v>239.69771382111</v>
      </c>
      <c r="M238" s="10">
        <v>2017</v>
      </c>
      <c r="N238" s="10">
        <v>9</v>
      </c>
      <c r="O238" s="10">
        <v>239.67578971231299</v>
      </c>
      <c r="Q238" s="10">
        <v>2017</v>
      </c>
      <c r="R238" s="10">
        <v>9</v>
      </c>
      <c r="S238" s="10">
        <v>239.68915131250401</v>
      </c>
      <c r="U238" s="10">
        <v>2017</v>
      </c>
      <c r="V238" s="10">
        <v>9</v>
      </c>
      <c r="W238" s="10">
        <v>239.62862750183101</v>
      </c>
      <c r="Y238" s="17">
        <v>2022</v>
      </c>
      <c r="Z238" s="17">
        <v>9</v>
      </c>
      <c r="AA238" s="17">
        <v>44815.320915554803</v>
      </c>
      <c r="AC238" s="10">
        <v>2017</v>
      </c>
      <c r="AD238" s="10">
        <v>9</v>
      </c>
      <c r="AE238" s="10">
        <v>239.62645499536001</v>
      </c>
      <c r="AG238" s="10">
        <v>2017</v>
      </c>
      <c r="AH238" s="10">
        <v>9</v>
      </c>
      <c r="AI238" s="10">
        <v>239.64515455171301</v>
      </c>
      <c r="AK238" s="10">
        <v>2017</v>
      </c>
      <c r="AL238" s="10">
        <v>9</v>
      </c>
      <c r="AM238" s="10">
        <v>239.65097246150501</v>
      </c>
      <c r="AO238" s="10">
        <v>2017</v>
      </c>
      <c r="AP238" s="10">
        <v>9</v>
      </c>
      <c r="AQ238" s="10">
        <v>239.538436904951</v>
      </c>
      <c r="AS238" s="10">
        <v>2017</v>
      </c>
      <c r="AT238" s="10">
        <v>9</v>
      </c>
      <c r="AU238" s="10">
        <v>239.62231011051901</v>
      </c>
      <c r="AW238" s="10">
        <v>2017</v>
      </c>
      <c r="AX238" s="10">
        <v>9</v>
      </c>
      <c r="AY238" s="10">
        <v>239.620242003621</v>
      </c>
    </row>
    <row r="239" spans="1:51" x14ac:dyDescent="0.25">
      <c r="A239" s="8">
        <v>2017</v>
      </c>
      <c r="B239" s="8">
        <v>10</v>
      </c>
      <c r="C239" s="10">
        <v>245.36432083355601</v>
      </c>
      <c r="E239" s="10">
        <v>2017</v>
      </c>
      <c r="F239" s="10">
        <v>10</v>
      </c>
      <c r="G239" s="10">
        <v>244.644607446051</v>
      </c>
      <c r="I239" s="10">
        <v>2017</v>
      </c>
      <c r="J239" s="10">
        <v>10</v>
      </c>
      <c r="K239" s="10">
        <v>244.65394479967901</v>
      </c>
      <c r="M239" s="10">
        <v>2017</v>
      </c>
      <c r="N239" s="10">
        <v>10</v>
      </c>
      <c r="O239" s="10">
        <v>244.65068678904601</v>
      </c>
      <c r="Q239" s="10">
        <v>2017</v>
      </c>
      <c r="R239" s="10">
        <v>10</v>
      </c>
      <c r="S239" s="10">
        <v>244.683041691634</v>
      </c>
      <c r="U239" s="10">
        <v>2017</v>
      </c>
      <c r="V239" s="10">
        <v>10</v>
      </c>
      <c r="W239" s="10">
        <v>244.68269556902499</v>
      </c>
      <c r="Y239" s="17">
        <v>2022</v>
      </c>
      <c r="Z239" s="17">
        <v>10</v>
      </c>
      <c r="AA239" s="17">
        <v>42462.010141099898</v>
      </c>
      <c r="AC239" s="10">
        <v>2017</v>
      </c>
      <c r="AD239" s="10">
        <v>10</v>
      </c>
      <c r="AE239" s="10">
        <v>244.67908412984801</v>
      </c>
      <c r="AG239" s="10">
        <v>2017</v>
      </c>
      <c r="AH239" s="10">
        <v>10</v>
      </c>
      <c r="AI239" s="10">
        <v>244.697734212597</v>
      </c>
      <c r="AK239" s="10">
        <v>2017</v>
      </c>
      <c r="AL239" s="10">
        <v>10</v>
      </c>
      <c r="AM239" s="10">
        <v>244.67110668932301</v>
      </c>
      <c r="AO239" s="10">
        <v>2017</v>
      </c>
      <c r="AP239" s="10">
        <v>10</v>
      </c>
      <c r="AQ239" s="10">
        <v>244.63396909901701</v>
      </c>
      <c r="AS239" s="10">
        <v>2017</v>
      </c>
      <c r="AT239" s="10">
        <v>10</v>
      </c>
      <c r="AU239" s="10">
        <v>244.663590489261</v>
      </c>
      <c r="AW239" s="10">
        <v>2017</v>
      </c>
      <c r="AX239" s="10">
        <v>10</v>
      </c>
      <c r="AY239" s="10">
        <v>244.66143918392601</v>
      </c>
    </row>
    <row r="240" spans="1:51" x14ac:dyDescent="0.25">
      <c r="A240" s="8">
        <v>2017</v>
      </c>
      <c r="B240" s="8">
        <v>11</v>
      </c>
      <c r="C240" s="10">
        <v>248.786012148976</v>
      </c>
      <c r="E240" s="10">
        <v>2017</v>
      </c>
      <c r="F240" s="10">
        <v>11</v>
      </c>
      <c r="G240" s="10">
        <v>248.69552980180001</v>
      </c>
      <c r="I240" s="10">
        <v>2017</v>
      </c>
      <c r="J240" s="10">
        <v>11</v>
      </c>
      <c r="K240" s="10">
        <v>248.694758066601</v>
      </c>
      <c r="M240" s="10">
        <v>2017</v>
      </c>
      <c r="N240" s="10">
        <v>11</v>
      </c>
      <c r="O240" s="10">
        <v>248.699275112831</v>
      </c>
      <c r="Q240" s="10">
        <v>2017</v>
      </c>
      <c r="R240" s="10">
        <v>11</v>
      </c>
      <c r="S240" s="10">
        <v>248.672882685057</v>
      </c>
      <c r="U240" s="10">
        <v>2017</v>
      </c>
      <c r="V240" s="10">
        <v>11</v>
      </c>
      <c r="W240" s="10">
        <v>248.64026881508099</v>
      </c>
      <c r="Y240" s="17">
        <v>2022</v>
      </c>
      <c r="Z240" s="17">
        <v>11</v>
      </c>
      <c r="AA240" s="17">
        <v>40245.073987372503</v>
      </c>
      <c r="AC240" s="10">
        <v>2017</v>
      </c>
      <c r="AD240" s="10">
        <v>11</v>
      </c>
      <c r="AE240" s="10">
        <v>248.637391658365</v>
      </c>
      <c r="AG240" s="10">
        <v>2017</v>
      </c>
      <c r="AH240" s="10">
        <v>11</v>
      </c>
      <c r="AI240" s="10">
        <v>248.641133487389</v>
      </c>
      <c r="AK240" s="10">
        <v>2017</v>
      </c>
      <c r="AL240" s="10">
        <v>11</v>
      </c>
      <c r="AM240" s="10">
        <v>248.648995453612</v>
      </c>
      <c r="AO240" s="10">
        <v>2017</v>
      </c>
      <c r="AP240" s="10">
        <v>11</v>
      </c>
      <c r="AQ240" s="10">
        <v>248.604761608058</v>
      </c>
      <c r="AS240" s="10">
        <v>2017</v>
      </c>
      <c r="AT240" s="10">
        <v>11</v>
      </c>
      <c r="AU240" s="10">
        <v>248.62626099669501</v>
      </c>
      <c r="AW240" s="10">
        <v>2017</v>
      </c>
      <c r="AX240" s="10">
        <v>11</v>
      </c>
      <c r="AY240" s="10">
        <v>248.62094746045</v>
      </c>
    </row>
    <row r="241" spans="1:51" x14ac:dyDescent="0.25">
      <c r="A241" s="8">
        <v>2017</v>
      </c>
      <c r="B241" s="8">
        <v>12</v>
      </c>
      <c r="C241" s="10">
        <v>248.62367014501999</v>
      </c>
      <c r="E241" s="10">
        <v>2017</v>
      </c>
      <c r="F241" s="10">
        <v>12</v>
      </c>
      <c r="G241" s="10">
        <v>248.81303195345001</v>
      </c>
      <c r="I241" s="10">
        <v>2017</v>
      </c>
      <c r="J241" s="10">
        <v>12</v>
      </c>
      <c r="K241" s="10">
        <v>248.801682101983</v>
      </c>
      <c r="M241" s="10">
        <v>2017</v>
      </c>
      <c r="N241" s="10">
        <v>12</v>
      </c>
      <c r="O241" s="10">
        <v>248.829844265334</v>
      </c>
      <c r="Q241" s="10">
        <v>2017</v>
      </c>
      <c r="R241" s="10">
        <v>12</v>
      </c>
      <c r="S241" s="10">
        <v>248.85750124873201</v>
      </c>
      <c r="U241" s="10">
        <v>2017</v>
      </c>
      <c r="V241" s="10">
        <v>12</v>
      </c>
      <c r="W241" s="10">
        <v>248.88907364529001</v>
      </c>
      <c r="Y241" s="17">
        <v>2022</v>
      </c>
      <c r="Z241" s="17">
        <v>12</v>
      </c>
      <c r="AA241" s="17">
        <v>45528.5908144231</v>
      </c>
      <c r="AC241" s="10">
        <v>2017</v>
      </c>
      <c r="AD241" s="10">
        <v>12</v>
      </c>
      <c r="AE241" s="10">
        <v>248.882784592072</v>
      </c>
      <c r="AG241" s="10">
        <v>2017</v>
      </c>
      <c r="AH241" s="10">
        <v>12</v>
      </c>
      <c r="AI241" s="10">
        <v>248.92188456635901</v>
      </c>
      <c r="AK241" s="10">
        <v>2017</v>
      </c>
      <c r="AL241" s="10">
        <v>12</v>
      </c>
      <c r="AM241" s="10">
        <v>248.88528767043601</v>
      </c>
      <c r="AO241" s="10">
        <v>2017</v>
      </c>
      <c r="AP241" s="10">
        <v>12</v>
      </c>
      <c r="AQ241" s="10">
        <v>248.85510651455701</v>
      </c>
      <c r="AS241" s="10">
        <v>2017</v>
      </c>
      <c r="AT241" s="10">
        <v>12</v>
      </c>
      <c r="AU241" s="10">
        <v>248.90942457729599</v>
      </c>
      <c r="AW241" s="10">
        <v>2017</v>
      </c>
      <c r="AX241" s="10">
        <v>12</v>
      </c>
      <c r="AY241" s="10">
        <v>248.91150483953501</v>
      </c>
    </row>
    <row r="242" spans="1:51" x14ac:dyDescent="0.25">
      <c r="A242" s="8">
        <v>2018</v>
      </c>
      <c r="B242" s="8">
        <v>1</v>
      </c>
      <c r="C242" s="10">
        <v>248.660222984348</v>
      </c>
      <c r="E242" s="10">
        <v>2018</v>
      </c>
      <c r="F242" s="10">
        <v>1</v>
      </c>
      <c r="G242" s="10">
        <v>252.15670413614001</v>
      </c>
      <c r="I242" s="10">
        <v>2018</v>
      </c>
      <c r="J242" s="10">
        <v>1</v>
      </c>
      <c r="K242" s="10">
        <v>252.113829974341</v>
      </c>
      <c r="M242" s="10">
        <v>2018</v>
      </c>
      <c r="N242" s="10">
        <v>1</v>
      </c>
      <c r="O242" s="10">
        <v>252.13124119090099</v>
      </c>
      <c r="Q242" s="10">
        <v>2018</v>
      </c>
      <c r="R242" s="10">
        <v>1</v>
      </c>
      <c r="S242" s="10">
        <v>252.10562035207499</v>
      </c>
      <c r="U242" s="10">
        <v>2018</v>
      </c>
      <c r="V242" s="10">
        <v>1</v>
      </c>
      <c r="W242" s="10">
        <v>252.05061201050299</v>
      </c>
      <c r="Y242" s="17">
        <v>2023</v>
      </c>
      <c r="Z242" s="17">
        <v>1</v>
      </c>
      <c r="AA242" s="17">
        <v>45447.371736011301</v>
      </c>
      <c r="AC242" s="10">
        <v>2018</v>
      </c>
      <c r="AD242" s="10">
        <v>1</v>
      </c>
      <c r="AE242" s="10">
        <v>252.051781372508</v>
      </c>
      <c r="AG242" s="10">
        <v>2018</v>
      </c>
      <c r="AH242" s="10">
        <v>1</v>
      </c>
      <c r="AI242" s="10">
        <v>252.04608528291601</v>
      </c>
      <c r="AK242" s="10">
        <v>2018</v>
      </c>
      <c r="AL242" s="10">
        <v>1</v>
      </c>
      <c r="AM242" s="10">
        <v>252.06556546272299</v>
      </c>
      <c r="AO242" s="10">
        <v>2018</v>
      </c>
      <c r="AP242" s="10">
        <v>1</v>
      </c>
      <c r="AQ242" s="10">
        <v>251.963318677275</v>
      </c>
      <c r="AS242" s="10">
        <v>2018</v>
      </c>
      <c r="AT242" s="10">
        <v>1</v>
      </c>
      <c r="AU242" s="10">
        <v>252.03914414227501</v>
      </c>
      <c r="AW242" s="10">
        <v>2018</v>
      </c>
      <c r="AX242" s="10">
        <v>1</v>
      </c>
      <c r="AY242" s="10">
        <v>252.03534179385201</v>
      </c>
    </row>
    <row r="243" spans="1:51" x14ac:dyDescent="0.25">
      <c r="A243" s="8">
        <v>2018</v>
      </c>
      <c r="B243" s="8">
        <v>2</v>
      </c>
      <c r="C243" s="10">
        <v>252.97416428511301</v>
      </c>
      <c r="E243" s="10">
        <v>2018</v>
      </c>
      <c r="F243" s="10">
        <v>2</v>
      </c>
      <c r="G243" s="10">
        <v>255.3477218399</v>
      </c>
      <c r="I243" s="10">
        <v>2018</v>
      </c>
      <c r="J243" s="10">
        <v>2</v>
      </c>
      <c r="K243" s="10">
        <v>255.33888266410699</v>
      </c>
      <c r="M243" s="10">
        <v>2018</v>
      </c>
      <c r="N243" s="10">
        <v>2</v>
      </c>
      <c r="O243" s="10">
        <v>255.344914019372</v>
      </c>
      <c r="Q243" s="10">
        <v>2018</v>
      </c>
      <c r="R243" s="10">
        <v>2</v>
      </c>
      <c r="S243" s="10">
        <v>255.451615065342</v>
      </c>
      <c r="U243" s="10">
        <v>2018</v>
      </c>
      <c r="V243" s="10">
        <v>2</v>
      </c>
      <c r="W243" s="10">
        <v>255.42422156835701</v>
      </c>
      <c r="Y243" s="17">
        <v>2023</v>
      </c>
      <c r="Z243" s="17">
        <v>2</v>
      </c>
      <c r="AA243" s="17">
        <v>45397.007398494097</v>
      </c>
      <c r="AC243" s="10">
        <v>2018</v>
      </c>
      <c r="AD243" s="10">
        <v>2</v>
      </c>
      <c r="AE243" s="10">
        <v>255.42903459498001</v>
      </c>
      <c r="AG243" s="10">
        <v>2018</v>
      </c>
      <c r="AH243" s="10">
        <v>2</v>
      </c>
      <c r="AI243" s="10">
        <v>255.50367862489</v>
      </c>
      <c r="AK243" s="10">
        <v>2018</v>
      </c>
      <c r="AL243" s="10">
        <v>2</v>
      </c>
      <c r="AM243" s="10">
        <v>255.524367055564</v>
      </c>
      <c r="AO243" s="10">
        <v>2018</v>
      </c>
      <c r="AP243" s="10">
        <v>2</v>
      </c>
      <c r="AQ243" s="10">
        <v>255.30980667410199</v>
      </c>
      <c r="AS243" s="10">
        <v>2018</v>
      </c>
      <c r="AT243" s="10">
        <v>2</v>
      </c>
      <c r="AU243" s="10">
        <v>255.81935871948801</v>
      </c>
      <c r="AW243" s="10">
        <v>2018</v>
      </c>
      <c r="AX243" s="10">
        <v>2</v>
      </c>
      <c r="AY243" s="10">
        <v>255.867610996016</v>
      </c>
    </row>
    <row r="244" spans="1:51" x14ac:dyDescent="0.25">
      <c r="A244" s="8">
        <v>2018</v>
      </c>
      <c r="B244" s="8">
        <v>3</v>
      </c>
      <c r="C244" s="10">
        <v>260.80526310813701</v>
      </c>
      <c r="E244" s="10">
        <v>2018</v>
      </c>
      <c r="F244" s="10">
        <v>3</v>
      </c>
      <c r="G244" s="10">
        <v>260.136350034462</v>
      </c>
      <c r="I244" s="10">
        <v>2018</v>
      </c>
      <c r="J244" s="10">
        <v>3</v>
      </c>
      <c r="K244" s="10">
        <v>260.11036132697802</v>
      </c>
      <c r="M244" s="10">
        <v>2018</v>
      </c>
      <c r="N244" s="10">
        <v>3</v>
      </c>
      <c r="O244" s="10">
        <v>260.179398855746</v>
      </c>
      <c r="Q244" s="10">
        <v>2018</v>
      </c>
      <c r="R244" s="10">
        <v>3</v>
      </c>
      <c r="S244" s="10">
        <v>260.07284064992302</v>
      </c>
      <c r="U244" s="10">
        <v>2018</v>
      </c>
      <c r="V244" s="10">
        <v>3</v>
      </c>
      <c r="W244" s="10">
        <v>259.88004448182699</v>
      </c>
      <c r="Y244" s="17">
        <v>2023</v>
      </c>
      <c r="Z244" s="17">
        <v>3</v>
      </c>
      <c r="AA244" s="17">
        <v>45376.658947428899</v>
      </c>
      <c r="AC244" s="10">
        <v>2018</v>
      </c>
      <c r="AD244" s="10">
        <v>3</v>
      </c>
      <c r="AE244" s="10">
        <v>259.91121815415801</v>
      </c>
      <c r="AG244" s="10">
        <v>2018</v>
      </c>
      <c r="AH244" s="10">
        <v>3</v>
      </c>
      <c r="AI244" s="10">
        <v>259.94954345566202</v>
      </c>
      <c r="AK244" s="10">
        <v>2018</v>
      </c>
      <c r="AL244" s="10">
        <v>3</v>
      </c>
      <c r="AM244" s="10">
        <v>259.97579546906201</v>
      </c>
      <c r="AO244" s="10">
        <v>2018</v>
      </c>
      <c r="AP244" s="10">
        <v>3</v>
      </c>
      <c r="AQ244" s="10">
        <v>260.876917358257</v>
      </c>
      <c r="AS244" s="10">
        <v>2018</v>
      </c>
      <c r="AT244" s="10">
        <v>3</v>
      </c>
      <c r="AU244" s="10">
        <v>260.00460079799899</v>
      </c>
      <c r="AW244" s="10">
        <v>2018</v>
      </c>
      <c r="AX244" s="10">
        <v>3</v>
      </c>
      <c r="AY244" s="10">
        <v>260.00931224882299</v>
      </c>
    </row>
    <row r="245" spans="1:51" x14ac:dyDescent="0.25">
      <c r="A245" s="8">
        <v>2018</v>
      </c>
      <c r="B245" s="8">
        <v>4</v>
      </c>
      <c r="C245" s="10">
        <v>259.61128281711098</v>
      </c>
      <c r="E245" s="10">
        <v>2018</v>
      </c>
      <c r="F245" s="10">
        <v>4</v>
      </c>
      <c r="G245" s="10">
        <v>259.32563224604399</v>
      </c>
      <c r="I245" s="10">
        <v>2018</v>
      </c>
      <c r="J245" s="10">
        <v>4</v>
      </c>
      <c r="K245" s="10">
        <v>259.321004948736</v>
      </c>
      <c r="M245" s="10">
        <v>2018</v>
      </c>
      <c r="N245" s="10">
        <v>4</v>
      </c>
      <c r="O245" s="10">
        <v>259.36138247441698</v>
      </c>
      <c r="Q245" s="10">
        <v>2018</v>
      </c>
      <c r="R245" s="10">
        <v>4</v>
      </c>
      <c r="S245" s="10">
        <v>259.503290645108</v>
      </c>
      <c r="U245" s="10">
        <v>2018</v>
      </c>
      <c r="V245" s="10">
        <v>4</v>
      </c>
      <c r="W245" s="10">
        <v>259.73159749784298</v>
      </c>
      <c r="Y245" s="17">
        <v>2023</v>
      </c>
      <c r="Z245" s="17">
        <v>4</v>
      </c>
      <c r="AA245" s="17">
        <v>45499.275379133898</v>
      </c>
      <c r="AC245" s="10">
        <v>2018</v>
      </c>
      <c r="AD245" s="10">
        <v>4</v>
      </c>
      <c r="AE245" s="10">
        <v>259.71439893625302</v>
      </c>
      <c r="AG245" s="10">
        <v>2018</v>
      </c>
      <c r="AH245" s="10">
        <v>4</v>
      </c>
      <c r="AI245" s="10">
        <v>259.75059739026102</v>
      </c>
      <c r="AK245" s="10">
        <v>2018</v>
      </c>
      <c r="AL245" s="10">
        <v>4</v>
      </c>
      <c r="AM245" s="10">
        <v>259.75625689037099</v>
      </c>
      <c r="AO245" s="10">
        <v>2018</v>
      </c>
      <c r="AP245" s="10">
        <v>4</v>
      </c>
      <c r="AQ245" s="10">
        <v>259.69550979791597</v>
      </c>
      <c r="AS245" s="10">
        <v>2018</v>
      </c>
      <c r="AT245" s="10">
        <v>4</v>
      </c>
      <c r="AU245" s="10">
        <v>259.74152927059902</v>
      </c>
      <c r="AW245" s="10">
        <v>2018</v>
      </c>
      <c r="AX245" s="10">
        <v>4</v>
      </c>
      <c r="AY245" s="10">
        <v>259.73847961859201</v>
      </c>
    </row>
    <row r="246" spans="1:51" x14ac:dyDescent="0.25">
      <c r="A246" s="8">
        <v>2018</v>
      </c>
      <c r="B246" s="8">
        <v>5</v>
      </c>
      <c r="C246" s="10">
        <v>254.069137139855</v>
      </c>
      <c r="E246" s="10">
        <v>2018</v>
      </c>
      <c r="F246" s="10">
        <v>5</v>
      </c>
      <c r="G246" s="10">
        <v>252.62204943343099</v>
      </c>
      <c r="I246" s="10">
        <v>2018</v>
      </c>
      <c r="J246" s="10">
        <v>5</v>
      </c>
      <c r="K246" s="10">
        <v>252.624452455007</v>
      </c>
      <c r="M246" s="10">
        <v>2018</v>
      </c>
      <c r="N246" s="10">
        <v>5</v>
      </c>
      <c r="O246" s="10">
        <v>252.62584410968299</v>
      </c>
      <c r="Q246" s="10">
        <v>2018</v>
      </c>
      <c r="R246" s="10">
        <v>5</v>
      </c>
      <c r="S246" s="10">
        <v>252.59915198739799</v>
      </c>
      <c r="U246" s="10">
        <v>2018</v>
      </c>
      <c r="V246" s="10">
        <v>5</v>
      </c>
      <c r="W246" s="10">
        <v>252.49725054173101</v>
      </c>
      <c r="Y246" s="17">
        <v>2023</v>
      </c>
      <c r="Z246" s="17">
        <v>5</v>
      </c>
      <c r="AA246" s="17">
        <v>44919.959671974</v>
      </c>
      <c r="AC246" s="10">
        <v>2018</v>
      </c>
      <c r="AD246" s="10">
        <v>5</v>
      </c>
      <c r="AE246" s="10">
        <v>252.494914467538</v>
      </c>
      <c r="AG246" s="10">
        <v>2018</v>
      </c>
      <c r="AH246" s="10">
        <v>5</v>
      </c>
      <c r="AI246" s="10">
        <v>252.57361879661599</v>
      </c>
      <c r="AK246" s="10">
        <v>2018</v>
      </c>
      <c r="AL246" s="10">
        <v>5</v>
      </c>
      <c r="AM246" s="10">
        <v>252.61174477412899</v>
      </c>
      <c r="AO246" s="10">
        <v>2018</v>
      </c>
      <c r="AP246" s="10">
        <v>5</v>
      </c>
      <c r="AQ246" s="10">
        <v>252.32352303764699</v>
      </c>
      <c r="AS246" s="10">
        <v>2018</v>
      </c>
      <c r="AT246" s="10">
        <v>5</v>
      </c>
      <c r="AU246" s="10">
        <v>252.6412650645</v>
      </c>
      <c r="AW246" s="10">
        <v>2018</v>
      </c>
      <c r="AX246" s="10">
        <v>5</v>
      </c>
      <c r="AY246" s="10">
        <v>252.64638115837801</v>
      </c>
    </row>
    <row r="247" spans="1:51" x14ac:dyDescent="0.25">
      <c r="A247" s="8">
        <v>2018</v>
      </c>
      <c r="B247" s="8">
        <v>6</v>
      </c>
      <c r="C247" s="10">
        <v>260.34993852394302</v>
      </c>
      <c r="E247" s="10">
        <v>2018</v>
      </c>
      <c r="F247" s="10">
        <v>6</v>
      </c>
      <c r="G247" s="10">
        <v>258.85693552097899</v>
      </c>
      <c r="I247" s="10">
        <v>2018</v>
      </c>
      <c r="J247" s="10">
        <v>6</v>
      </c>
      <c r="K247" s="10">
        <v>258.85029405433897</v>
      </c>
      <c r="M247" s="10">
        <v>2018</v>
      </c>
      <c r="N247" s="10">
        <v>6</v>
      </c>
      <c r="O247" s="10">
        <v>258.86554171924598</v>
      </c>
      <c r="Q247" s="10">
        <v>2018</v>
      </c>
      <c r="R247" s="10">
        <v>6</v>
      </c>
      <c r="S247" s="10">
        <v>258.92872390236897</v>
      </c>
      <c r="U247" s="10">
        <v>2018</v>
      </c>
      <c r="V247" s="10">
        <v>6</v>
      </c>
      <c r="W247" s="10">
        <v>258.90703649349098</v>
      </c>
      <c r="Y247" s="17">
        <v>2023</v>
      </c>
      <c r="Z247" s="17">
        <v>6</v>
      </c>
      <c r="AA247" s="17">
        <v>44042.073448421703</v>
      </c>
      <c r="AC247" s="10">
        <v>2018</v>
      </c>
      <c r="AD247" s="10">
        <v>6</v>
      </c>
      <c r="AE247" s="10">
        <v>258.90394579451799</v>
      </c>
      <c r="AG247" s="10">
        <v>2018</v>
      </c>
      <c r="AH247" s="10">
        <v>6</v>
      </c>
      <c r="AI247" s="10">
        <v>258.95652993540199</v>
      </c>
      <c r="AK247" s="10">
        <v>2018</v>
      </c>
      <c r="AL247" s="10">
        <v>6</v>
      </c>
      <c r="AM247" s="10">
        <v>258.94599935136398</v>
      </c>
      <c r="AO247" s="10">
        <v>2018</v>
      </c>
      <c r="AP247" s="10">
        <v>6</v>
      </c>
      <c r="AQ247" s="10">
        <v>258.89086927927798</v>
      </c>
      <c r="AS247" s="10">
        <v>2018</v>
      </c>
      <c r="AT247" s="10">
        <v>6</v>
      </c>
      <c r="AU247" s="10">
        <v>258.93602775529303</v>
      </c>
      <c r="AW247" s="10">
        <v>2018</v>
      </c>
      <c r="AX247" s="10">
        <v>6</v>
      </c>
      <c r="AY247" s="10">
        <v>258.93451627651899</v>
      </c>
    </row>
    <row r="248" spans="1:51" x14ac:dyDescent="0.25">
      <c r="A248" s="8">
        <v>2018</v>
      </c>
      <c r="B248" s="8">
        <v>7</v>
      </c>
      <c r="C248" s="10">
        <v>256.66075708105899</v>
      </c>
      <c r="E248" s="10">
        <v>2018</v>
      </c>
      <c r="F248" s="10">
        <v>7</v>
      </c>
      <c r="G248" s="10">
        <v>256.44948632072902</v>
      </c>
      <c r="I248" s="10">
        <v>2018</v>
      </c>
      <c r="J248" s="10">
        <v>7</v>
      </c>
      <c r="K248" s="10">
        <v>256.43895085546001</v>
      </c>
      <c r="M248" s="10">
        <v>2018</v>
      </c>
      <c r="N248" s="10">
        <v>7</v>
      </c>
      <c r="O248" s="10">
        <v>256.43862515418402</v>
      </c>
      <c r="Q248" s="10">
        <v>2018</v>
      </c>
      <c r="R248" s="10">
        <v>7</v>
      </c>
      <c r="S248" s="10">
        <v>256.02764951261599</v>
      </c>
      <c r="U248" s="10">
        <v>2018</v>
      </c>
      <c r="V248" s="10">
        <v>7</v>
      </c>
      <c r="W248" s="10">
        <v>256.392135008563</v>
      </c>
      <c r="Y248" s="17">
        <v>2023</v>
      </c>
      <c r="Z248" s="17">
        <v>7</v>
      </c>
      <c r="AA248" s="17">
        <v>42616.5114141456</v>
      </c>
      <c r="AC248" s="10">
        <v>2018</v>
      </c>
      <c r="AD248" s="10">
        <v>7</v>
      </c>
      <c r="AE248" s="10">
        <v>256.39171942416601</v>
      </c>
      <c r="AG248" s="10">
        <v>2018</v>
      </c>
      <c r="AH248" s="10">
        <v>7</v>
      </c>
      <c r="AI248" s="10">
        <v>255.99966928063799</v>
      </c>
      <c r="AK248" s="10">
        <v>2018</v>
      </c>
      <c r="AL248" s="10">
        <v>7</v>
      </c>
      <c r="AM248" s="10">
        <v>256.02148703510102</v>
      </c>
      <c r="AO248" s="10">
        <v>2018</v>
      </c>
      <c r="AP248" s="10">
        <v>7</v>
      </c>
      <c r="AQ248" s="10">
        <v>256.13054001989099</v>
      </c>
      <c r="AS248" s="10">
        <v>2018</v>
      </c>
      <c r="AT248" s="10">
        <v>7</v>
      </c>
      <c r="AU248" s="10">
        <v>255.992610814242</v>
      </c>
      <c r="AW248" s="10">
        <v>2018</v>
      </c>
      <c r="AX248" s="10">
        <v>7</v>
      </c>
      <c r="AY248" s="10">
        <v>255.989874456699</v>
      </c>
    </row>
    <row r="249" spans="1:51" x14ac:dyDescent="0.25">
      <c r="A249" s="8">
        <v>2018</v>
      </c>
      <c r="B249" s="8">
        <v>8</v>
      </c>
      <c r="C249" s="10">
        <v>261.86237568848401</v>
      </c>
      <c r="E249" s="10">
        <v>2018</v>
      </c>
      <c r="F249" s="10">
        <v>8</v>
      </c>
      <c r="G249" s="10">
        <v>259.14061233226198</v>
      </c>
      <c r="I249" s="10">
        <v>2018</v>
      </c>
      <c r="J249" s="10">
        <v>8</v>
      </c>
      <c r="K249" s="10">
        <v>259.300192702917</v>
      </c>
      <c r="M249" s="10">
        <v>2018</v>
      </c>
      <c r="N249" s="10">
        <v>8</v>
      </c>
      <c r="O249" s="10">
        <v>259.03519083412999</v>
      </c>
      <c r="Q249" s="10">
        <v>2018</v>
      </c>
      <c r="R249" s="10">
        <v>8</v>
      </c>
      <c r="S249" s="10">
        <v>259.26311399646198</v>
      </c>
      <c r="U249" s="10">
        <v>2018</v>
      </c>
      <c r="V249" s="10">
        <v>8</v>
      </c>
      <c r="W249" s="10">
        <v>259.16587439707303</v>
      </c>
      <c r="Y249" s="17">
        <v>2023</v>
      </c>
      <c r="Z249" s="17">
        <v>8</v>
      </c>
      <c r="AA249" s="17">
        <v>40649.700202961998</v>
      </c>
      <c r="AC249" s="10">
        <v>2018</v>
      </c>
      <c r="AD249" s="10">
        <v>8</v>
      </c>
      <c r="AE249" s="10">
        <v>259.16687759646697</v>
      </c>
      <c r="AG249" s="10">
        <v>2018</v>
      </c>
      <c r="AH249" s="10">
        <v>8</v>
      </c>
      <c r="AI249" s="10">
        <v>259.15146986578299</v>
      </c>
      <c r="AK249" s="10">
        <v>2018</v>
      </c>
      <c r="AL249" s="10">
        <v>8</v>
      </c>
      <c r="AM249" s="10">
        <v>259.06028288834398</v>
      </c>
      <c r="AO249" s="10">
        <v>2018</v>
      </c>
      <c r="AP249" s="10">
        <v>8</v>
      </c>
      <c r="AQ249" s="10">
        <v>258.95452502476502</v>
      </c>
      <c r="AS249" s="10">
        <v>2018</v>
      </c>
      <c r="AT249" s="10">
        <v>8</v>
      </c>
      <c r="AU249" s="10">
        <v>259.03124103765498</v>
      </c>
      <c r="AW249" s="10">
        <v>2018</v>
      </c>
      <c r="AX249" s="10">
        <v>8</v>
      </c>
      <c r="AY249" s="10">
        <v>259.02684988956099</v>
      </c>
    </row>
    <row r="250" spans="1:51" x14ac:dyDescent="0.25">
      <c r="A250" s="8">
        <v>2018</v>
      </c>
      <c r="B250" s="8">
        <v>9</v>
      </c>
      <c r="C250" s="10">
        <v>246.81193236637299</v>
      </c>
      <c r="E250" s="10">
        <v>2018</v>
      </c>
      <c r="F250" s="10">
        <v>9</v>
      </c>
      <c r="G250" s="10">
        <v>246.92571463719599</v>
      </c>
      <c r="I250" s="10">
        <v>2018</v>
      </c>
      <c r="J250" s="10">
        <v>9</v>
      </c>
      <c r="K250" s="10">
        <v>246.906668414183</v>
      </c>
      <c r="M250" s="10">
        <v>2018</v>
      </c>
      <c r="N250" s="10">
        <v>9</v>
      </c>
      <c r="O250" s="10">
        <v>246.942066619347</v>
      </c>
      <c r="Q250" s="10">
        <v>2018</v>
      </c>
      <c r="R250" s="10">
        <v>9</v>
      </c>
      <c r="S250" s="10">
        <v>247.02749209344501</v>
      </c>
      <c r="U250" s="10">
        <v>2018</v>
      </c>
      <c r="V250" s="10">
        <v>9</v>
      </c>
      <c r="W250" s="10">
        <v>247.04197172897099</v>
      </c>
      <c r="Y250" s="17">
        <v>2023</v>
      </c>
      <c r="Z250" s="17">
        <v>9</v>
      </c>
      <c r="AA250" s="17">
        <v>38458.055425237799</v>
      </c>
      <c r="AC250" s="10">
        <v>2018</v>
      </c>
      <c r="AD250" s="10">
        <v>9</v>
      </c>
      <c r="AE250" s="10">
        <v>247.03311896061501</v>
      </c>
      <c r="AG250" s="10">
        <v>2018</v>
      </c>
      <c r="AH250" s="10">
        <v>9</v>
      </c>
      <c r="AI250" s="10">
        <v>247.10379470553301</v>
      </c>
      <c r="AK250" s="10">
        <v>2018</v>
      </c>
      <c r="AL250" s="10">
        <v>9</v>
      </c>
      <c r="AM250" s="10">
        <v>247.057997381337</v>
      </c>
      <c r="AO250" s="10">
        <v>2018</v>
      </c>
      <c r="AP250" s="10">
        <v>9</v>
      </c>
      <c r="AQ250" s="10">
        <v>247.02210482721401</v>
      </c>
      <c r="AS250" s="10">
        <v>2018</v>
      </c>
      <c r="AT250" s="10">
        <v>9</v>
      </c>
      <c r="AU250" s="10">
        <v>247.05828416030499</v>
      </c>
      <c r="AW250" s="10">
        <v>2018</v>
      </c>
      <c r="AX250" s="10">
        <v>9</v>
      </c>
      <c r="AY250" s="10">
        <v>247.05862088544001</v>
      </c>
    </row>
    <row r="251" spans="1:51" x14ac:dyDescent="0.25">
      <c r="A251" s="8">
        <v>2018</v>
      </c>
      <c r="B251" s="8">
        <v>10</v>
      </c>
      <c r="C251" s="10">
        <v>258.25835738022602</v>
      </c>
      <c r="E251" s="10">
        <v>2018</v>
      </c>
      <c r="F251" s="10">
        <v>10</v>
      </c>
      <c r="G251" s="10">
        <v>256.49040215623597</v>
      </c>
      <c r="I251" s="10">
        <v>2018</v>
      </c>
      <c r="J251" s="10">
        <v>10</v>
      </c>
      <c r="K251" s="10">
        <v>256.48529010508202</v>
      </c>
      <c r="M251" s="10">
        <v>2018</v>
      </c>
      <c r="N251" s="10">
        <v>10</v>
      </c>
      <c r="O251" s="10">
        <v>256.44456134150101</v>
      </c>
      <c r="Q251" s="10">
        <v>2018</v>
      </c>
      <c r="R251" s="10">
        <v>10</v>
      </c>
      <c r="S251" s="10">
        <v>256.42844811297101</v>
      </c>
      <c r="U251" s="10">
        <v>2018</v>
      </c>
      <c r="V251" s="10">
        <v>10</v>
      </c>
      <c r="W251" s="10">
        <v>256.34660717280298</v>
      </c>
      <c r="Y251" s="17">
        <v>2023</v>
      </c>
      <c r="Z251" s="17">
        <v>10</v>
      </c>
      <c r="AA251" s="17">
        <v>40784.092605441503</v>
      </c>
      <c r="AC251" s="10">
        <v>2018</v>
      </c>
      <c r="AD251" s="10">
        <v>10</v>
      </c>
      <c r="AE251" s="10">
        <v>256.35025839240598</v>
      </c>
      <c r="AG251" s="10">
        <v>2018</v>
      </c>
      <c r="AH251" s="10">
        <v>10</v>
      </c>
      <c r="AI251" s="10">
        <v>256.34756461049801</v>
      </c>
      <c r="AK251" s="10">
        <v>2018</v>
      </c>
      <c r="AL251" s="10">
        <v>10</v>
      </c>
      <c r="AM251" s="10">
        <v>256.355088926007</v>
      </c>
      <c r="AO251" s="10">
        <v>2018</v>
      </c>
      <c r="AP251" s="10">
        <v>10</v>
      </c>
      <c r="AQ251" s="10">
        <v>256.24115592606199</v>
      </c>
      <c r="AS251" s="10">
        <v>2018</v>
      </c>
      <c r="AT251" s="10">
        <v>10</v>
      </c>
      <c r="AU251" s="10">
        <v>256.32866590397799</v>
      </c>
      <c r="AW251" s="10">
        <v>2018</v>
      </c>
      <c r="AX251" s="10">
        <v>10</v>
      </c>
      <c r="AY251" s="10">
        <v>256.32362491385902</v>
      </c>
    </row>
    <row r="252" spans="1:51" x14ac:dyDescent="0.25">
      <c r="A252" s="8">
        <v>2018</v>
      </c>
      <c r="B252" s="8">
        <v>11</v>
      </c>
      <c r="C252" s="10">
        <v>250.08635421876701</v>
      </c>
      <c r="E252" s="10">
        <v>2018</v>
      </c>
      <c r="F252" s="10">
        <v>11</v>
      </c>
      <c r="G252" s="10">
        <v>250.18219447942599</v>
      </c>
      <c r="I252" s="10">
        <v>2018</v>
      </c>
      <c r="J252" s="10">
        <v>11</v>
      </c>
      <c r="K252" s="10">
        <v>250.16260015734699</v>
      </c>
      <c r="M252" s="10">
        <v>2018</v>
      </c>
      <c r="N252" s="10">
        <v>11</v>
      </c>
      <c r="O252" s="10">
        <v>250.196517887856</v>
      </c>
      <c r="Q252" s="10">
        <v>2018</v>
      </c>
      <c r="R252" s="10">
        <v>11</v>
      </c>
      <c r="S252" s="10">
        <v>250.115503445797</v>
      </c>
      <c r="U252" s="10">
        <v>2018</v>
      </c>
      <c r="V252" s="10">
        <v>11</v>
      </c>
      <c r="W252" s="10">
        <v>250.08392209545099</v>
      </c>
      <c r="Y252" s="17">
        <v>2023</v>
      </c>
      <c r="Z252" s="17">
        <v>11</v>
      </c>
      <c r="AA252" s="17">
        <v>39228.103471668503</v>
      </c>
      <c r="AC252" s="10">
        <v>2018</v>
      </c>
      <c r="AD252" s="10">
        <v>11</v>
      </c>
      <c r="AE252" s="10">
        <v>250.08038668193601</v>
      </c>
      <c r="AG252" s="10">
        <v>2018</v>
      </c>
      <c r="AH252" s="10">
        <v>11</v>
      </c>
      <c r="AI252" s="10">
        <v>250.08473004583601</v>
      </c>
      <c r="AK252" s="10">
        <v>2018</v>
      </c>
      <c r="AL252" s="10">
        <v>11</v>
      </c>
      <c r="AM252" s="10">
        <v>250.10612426773</v>
      </c>
      <c r="AO252" s="10">
        <v>2018</v>
      </c>
      <c r="AP252" s="10">
        <v>11</v>
      </c>
      <c r="AQ252" s="10">
        <v>250.06210343751999</v>
      </c>
      <c r="AS252" s="10">
        <v>2018</v>
      </c>
      <c r="AT252" s="10">
        <v>11</v>
      </c>
      <c r="AU252" s="10">
        <v>250.08631656265999</v>
      </c>
      <c r="AW252" s="10">
        <v>2018</v>
      </c>
      <c r="AX252" s="10">
        <v>11</v>
      </c>
      <c r="AY252" s="10">
        <v>250.08001866554801</v>
      </c>
    </row>
    <row r="253" spans="1:51" x14ac:dyDescent="0.25">
      <c r="A253" s="8">
        <v>2018</v>
      </c>
      <c r="B253" s="8">
        <v>12</v>
      </c>
      <c r="C253" s="10">
        <v>251.38048701252799</v>
      </c>
      <c r="E253" s="10">
        <v>2018</v>
      </c>
      <c r="F253" s="10">
        <v>12</v>
      </c>
      <c r="G253" s="10">
        <v>252.57244415466499</v>
      </c>
      <c r="I253" s="10">
        <v>2018</v>
      </c>
      <c r="J253" s="10">
        <v>12</v>
      </c>
      <c r="K253" s="10">
        <v>252.553604521766</v>
      </c>
      <c r="M253" s="10">
        <v>2018</v>
      </c>
      <c r="N253" s="10">
        <v>12</v>
      </c>
      <c r="O253" s="10">
        <v>252.60337367517801</v>
      </c>
      <c r="Q253" s="10">
        <v>2018</v>
      </c>
      <c r="R253" s="10">
        <v>12</v>
      </c>
      <c r="S253" s="10">
        <v>252.59956369851199</v>
      </c>
      <c r="U253" s="10">
        <v>2018</v>
      </c>
      <c r="V253" s="10">
        <v>12</v>
      </c>
      <c r="W253" s="10">
        <v>252.652966322211</v>
      </c>
      <c r="Y253" s="17">
        <v>2023</v>
      </c>
      <c r="Z253" s="17">
        <v>12</v>
      </c>
      <c r="AA253" s="17">
        <v>33575.695675673</v>
      </c>
      <c r="AC253" s="10">
        <v>2018</v>
      </c>
      <c r="AD253" s="10">
        <v>12</v>
      </c>
      <c r="AE253" s="10">
        <v>252.647019950528</v>
      </c>
      <c r="AG253" s="10">
        <v>2018</v>
      </c>
      <c r="AH253" s="10">
        <v>12</v>
      </c>
      <c r="AI253" s="10">
        <v>252.68455320531001</v>
      </c>
      <c r="AK253" s="10">
        <v>2018</v>
      </c>
      <c r="AL253" s="10">
        <v>12</v>
      </c>
      <c r="AM253" s="10">
        <v>252.648938213317</v>
      </c>
      <c r="AO253" s="10">
        <v>2018</v>
      </c>
      <c r="AP253" s="10">
        <v>12</v>
      </c>
      <c r="AQ253" s="10">
        <v>252.61248427139699</v>
      </c>
      <c r="AS253" s="10">
        <v>2018</v>
      </c>
      <c r="AT253" s="10">
        <v>12</v>
      </c>
      <c r="AU253" s="10">
        <v>252.672154291412</v>
      </c>
      <c r="AW253" s="10">
        <v>2018</v>
      </c>
      <c r="AX253" s="10">
        <v>12</v>
      </c>
      <c r="AY253" s="10">
        <v>252.674242692392</v>
      </c>
    </row>
    <row r="254" spans="1:51" x14ac:dyDescent="0.25">
      <c r="A254" s="8">
        <v>2019</v>
      </c>
      <c r="B254" s="8">
        <v>1</v>
      </c>
      <c r="C254" s="10">
        <v>248.99783164145799</v>
      </c>
      <c r="E254" s="10">
        <v>2019</v>
      </c>
      <c r="F254" s="10">
        <v>1</v>
      </c>
      <c r="G254" s="10">
        <v>256.00251726279203</v>
      </c>
      <c r="I254" s="10">
        <v>2019</v>
      </c>
      <c r="J254" s="10">
        <v>1</v>
      </c>
      <c r="K254" s="10">
        <v>255.92369860047799</v>
      </c>
      <c r="M254" s="10">
        <v>2019</v>
      </c>
      <c r="N254" s="10">
        <v>1</v>
      </c>
      <c r="O254" s="10">
        <v>255.99652751574999</v>
      </c>
      <c r="Q254" s="10">
        <v>2019</v>
      </c>
      <c r="R254" s="10">
        <v>1</v>
      </c>
      <c r="S254" s="10">
        <v>255.92392393478301</v>
      </c>
      <c r="U254" s="10">
        <v>2019</v>
      </c>
      <c r="V254" s="10">
        <v>1</v>
      </c>
      <c r="W254" s="10">
        <v>255.88461073437799</v>
      </c>
      <c r="Y254" s="17">
        <v>2024</v>
      </c>
      <c r="Z254" s="17">
        <v>1</v>
      </c>
      <c r="AA254" s="17">
        <v>29549.22426793</v>
      </c>
      <c r="AC254" s="10">
        <v>2019</v>
      </c>
      <c r="AD254" s="10">
        <v>1</v>
      </c>
      <c r="AE254" s="10">
        <v>255.88717752731401</v>
      </c>
      <c r="AG254" s="10">
        <v>2019</v>
      </c>
      <c r="AH254" s="10">
        <v>1</v>
      </c>
      <c r="AI254" s="10">
        <v>255.87810590826001</v>
      </c>
      <c r="AK254" s="10">
        <v>2019</v>
      </c>
      <c r="AL254" s="10">
        <v>1</v>
      </c>
      <c r="AM254" s="10">
        <v>255.90429442613299</v>
      </c>
      <c r="AO254" s="10">
        <v>2019</v>
      </c>
      <c r="AP254" s="10">
        <v>1</v>
      </c>
      <c r="AQ254" s="10">
        <v>255.78375385107799</v>
      </c>
      <c r="AS254" s="10">
        <v>2019</v>
      </c>
      <c r="AT254" s="10">
        <v>1</v>
      </c>
      <c r="AU254" s="10">
        <v>255.888207458892</v>
      </c>
      <c r="AW254" s="10">
        <v>2019</v>
      </c>
      <c r="AX254" s="10">
        <v>1</v>
      </c>
      <c r="AY254" s="10">
        <v>255.885951844966</v>
      </c>
    </row>
    <row r="255" spans="1:51" x14ac:dyDescent="0.25">
      <c r="A255" s="8">
        <v>2019</v>
      </c>
      <c r="B255" s="8">
        <v>2</v>
      </c>
      <c r="C255" s="10">
        <v>248.38289915701901</v>
      </c>
      <c r="E255" s="10">
        <v>2019</v>
      </c>
      <c r="F255" s="10">
        <v>2</v>
      </c>
      <c r="G255" s="10">
        <v>250.88272606525601</v>
      </c>
      <c r="I255" s="10">
        <v>2019</v>
      </c>
      <c r="J255" s="10">
        <v>2</v>
      </c>
      <c r="K255" s="10">
        <v>250.88566806038099</v>
      </c>
      <c r="M255" s="10">
        <v>2019</v>
      </c>
      <c r="N255" s="10">
        <v>2</v>
      </c>
      <c r="O255" s="10">
        <v>250.898729409434</v>
      </c>
      <c r="Q255" s="10">
        <v>2019</v>
      </c>
      <c r="R255" s="10">
        <v>2</v>
      </c>
      <c r="S255" s="10">
        <v>251.04537733508101</v>
      </c>
      <c r="U255" s="10">
        <v>2019</v>
      </c>
      <c r="V255" s="10">
        <v>2</v>
      </c>
      <c r="W255" s="10">
        <v>250.98163690941701</v>
      </c>
      <c r="Y255" s="17">
        <v>2024</v>
      </c>
      <c r="Z255" s="17">
        <v>2</v>
      </c>
      <c r="AA255" s="17">
        <v>30534.4066728578</v>
      </c>
      <c r="AC255" s="10">
        <v>2019</v>
      </c>
      <c r="AD255" s="10">
        <v>2</v>
      </c>
      <c r="AE255" s="10">
        <v>250.99133297130399</v>
      </c>
      <c r="AG255" s="10">
        <v>2019</v>
      </c>
      <c r="AH255" s="10">
        <v>2</v>
      </c>
      <c r="AI255" s="10">
        <v>251.10254263345601</v>
      </c>
      <c r="AK255" s="10">
        <v>2019</v>
      </c>
      <c r="AL255" s="10">
        <v>2</v>
      </c>
      <c r="AM255" s="10">
        <v>251.13796845214699</v>
      </c>
      <c r="AO255" s="10">
        <v>2019</v>
      </c>
      <c r="AP255" s="10">
        <v>2</v>
      </c>
      <c r="AQ255" s="10">
        <v>250.93819484061399</v>
      </c>
      <c r="AS255" s="10">
        <v>2019</v>
      </c>
      <c r="AT255" s="10">
        <v>2</v>
      </c>
      <c r="AU255" s="10">
        <v>251.41934166236101</v>
      </c>
      <c r="AW255" s="10">
        <v>2019</v>
      </c>
      <c r="AX255" s="10">
        <v>2</v>
      </c>
      <c r="AY255" s="10">
        <v>251.46539206504499</v>
      </c>
    </row>
    <row r="256" spans="1:51" x14ac:dyDescent="0.25">
      <c r="A256" s="8">
        <v>2019</v>
      </c>
      <c r="B256" s="8">
        <v>3</v>
      </c>
      <c r="C256" s="10">
        <v>231.213972700786</v>
      </c>
      <c r="E256" s="10">
        <v>2019</v>
      </c>
      <c r="F256" s="10">
        <v>3</v>
      </c>
      <c r="G256" s="10">
        <v>233.80575739144101</v>
      </c>
      <c r="I256" s="10">
        <v>2019</v>
      </c>
      <c r="J256" s="10">
        <v>3</v>
      </c>
      <c r="K256" s="10">
        <v>233.800732559224</v>
      </c>
      <c r="M256" s="10">
        <v>2019</v>
      </c>
      <c r="N256" s="10">
        <v>3</v>
      </c>
      <c r="O256" s="10">
        <v>233.95524169490901</v>
      </c>
      <c r="Q256" s="10">
        <v>2019</v>
      </c>
      <c r="R256" s="10">
        <v>3</v>
      </c>
      <c r="S256" s="10">
        <v>234.04485749385799</v>
      </c>
      <c r="U256" s="10">
        <v>2019</v>
      </c>
      <c r="V256" s="10">
        <v>3</v>
      </c>
      <c r="W256" s="10">
        <v>234.25899777500501</v>
      </c>
      <c r="Y256" s="17">
        <v>2024</v>
      </c>
      <c r="Z256" s="17">
        <v>3</v>
      </c>
      <c r="AA256" s="17">
        <v>29814.008716010001</v>
      </c>
      <c r="AC256" s="10">
        <v>2019</v>
      </c>
      <c r="AD256" s="10">
        <v>3</v>
      </c>
      <c r="AE256" s="10">
        <v>234.27151330025401</v>
      </c>
      <c r="AG256" s="10">
        <v>2019</v>
      </c>
      <c r="AH256" s="10">
        <v>3</v>
      </c>
      <c r="AI256" s="10">
        <v>234.34477507119499</v>
      </c>
      <c r="AK256" s="10">
        <v>2019</v>
      </c>
      <c r="AL256" s="10">
        <v>3</v>
      </c>
      <c r="AM256" s="10">
        <v>234.35650004155499</v>
      </c>
      <c r="AO256" s="10">
        <v>2019</v>
      </c>
      <c r="AP256" s="10">
        <v>3</v>
      </c>
      <c r="AQ256" s="10">
        <v>235.462151288597</v>
      </c>
      <c r="AS256" s="10">
        <v>2019</v>
      </c>
      <c r="AT256" s="10">
        <v>3</v>
      </c>
      <c r="AU256" s="10">
        <v>234.42859244030299</v>
      </c>
      <c r="AW256" s="10">
        <v>2019</v>
      </c>
      <c r="AX256" s="10">
        <v>3</v>
      </c>
      <c r="AY256" s="10">
        <v>234.437500802486</v>
      </c>
    </row>
    <row r="257" spans="1:51" x14ac:dyDescent="0.25">
      <c r="A257" s="8">
        <v>2019</v>
      </c>
      <c r="B257" s="8">
        <v>4</v>
      </c>
      <c r="C257" s="10">
        <v>251.76320027528999</v>
      </c>
      <c r="E257" s="10">
        <v>2019</v>
      </c>
      <c r="F257" s="10">
        <v>4</v>
      </c>
      <c r="G257" s="10">
        <v>247.504164230285</v>
      </c>
      <c r="I257" s="10">
        <v>2019</v>
      </c>
      <c r="J257" s="10">
        <v>4</v>
      </c>
      <c r="K257" s="10">
        <v>247.489985674949</v>
      </c>
      <c r="M257" s="10">
        <v>2019</v>
      </c>
      <c r="N257" s="10">
        <v>4</v>
      </c>
      <c r="O257" s="10">
        <v>247.50470723017099</v>
      </c>
      <c r="Q257" s="10">
        <v>2019</v>
      </c>
      <c r="R257" s="10">
        <v>4</v>
      </c>
      <c r="S257" s="10">
        <v>247.39734346202101</v>
      </c>
      <c r="U257" s="10">
        <v>2019</v>
      </c>
      <c r="V257" s="10">
        <v>4</v>
      </c>
      <c r="W257" s="10">
        <v>247.222161155962</v>
      </c>
      <c r="Y257" s="17">
        <v>2024</v>
      </c>
      <c r="Z257" s="17">
        <v>4</v>
      </c>
      <c r="AA257" s="17">
        <v>29296.444346014501</v>
      </c>
      <c r="AC257" s="10">
        <v>2019</v>
      </c>
      <c r="AD257" s="10">
        <v>4</v>
      </c>
      <c r="AE257" s="10">
        <v>247.22524996665399</v>
      </c>
      <c r="AG257" s="10">
        <v>2019</v>
      </c>
      <c r="AH257" s="10">
        <v>4</v>
      </c>
      <c r="AI257" s="10">
        <v>247.241697338801</v>
      </c>
      <c r="AK257" s="10">
        <v>2019</v>
      </c>
      <c r="AL257" s="10">
        <v>4</v>
      </c>
      <c r="AM257" s="10">
        <v>247.314828605153</v>
      </c>
      <c r="AO257" s="10">
        <v>2019</v>
      </c>
      <c r="AP257" s="10">
        <v>4</v>
      </c>
      <c r="AQ257" s="10">
        <v>247.178980967462</v>
      </c>
      <c r="AS257" s="10">
        <v>2019</v>
      </c>
      <c r="AT257" s="10">
        <v>4</v>
      </c>
      <c r="AU257" s="10">
        <v>247.29127914776601</v>
      </c>
      <c r="AW257" s="10">
        <v>2019</v>
      </c>
      <c r="AX257" s="10">
        <v>4</v>
      </c>
      <c r="AY257" s="10">
        <v>247.28955026189999</v>
      </c>
    </row>
    <row r="258" spans="1:51" x14ac:dyDescent="0.25">
      <c r="A258" s="8">
        <v>2019</v>
      </c>
      <c r="B258" s="8">
        <v>5</v>
      </c>
      <c r="C258" s="10">
        <v>258.55953307713997</v>
      </c>
      <c r="E258" s="10">
        <v>2019</v>
      </c>
      <c r="F258" s="10">
        <v>5</v>
      </c>
      <c r="G258" s="10">
        <v>255.643073253073</v>
      </c>
      <c r="I258" s="10">
        <v>2019</v>
      </c>
      <c r="J258" s="10">
        <v>5</v>
      </c>
      <c r="K258" s="10">
        <v>255.656778166756</v>
      </c>
      <c r="M258" s="10">
        <v>2019</v>
      </c>
      <c r="N258" s="10">
        <v>5</v>
      </c>
      <c r="O258" s="10">
        <v>255.65767541058401</v>
      </c>
      <c r="Q258" s="10">
        <v>2019</v>
      </c>
      <c r="R258" s="10">
        <v>5</v>
      </c>
      <c r="S258" s="10">
        <v>255.649660136753</v>
      </c>
      <c r="U258" s="10">
        <v>2019</v>
      </c>
      <c r="V258" s="10">
        <v>5</v>
      </c>
      <c r="W258" s="10">
        <v>255.54648798795699</v>
      </c>
      <c r="Y258" s="17">
        <v>2024</v>
      </c>
      <c r="Z258" s="17">
        <v>5</v>
      </c>
      <c r="AA258" s="17">
        <v>30207.189710216899</v>
      </c>
      <c r="AC258" s="10">
        <v>2019</v>
      </c>
      <c r="AD258" s="10">
        <v>5</v>
      </c>
      <c r="AE258" s="10">
        <v>255.54245880209899</v>
      </c>
      <c r="AG258" s="10">
        <v>2019</v>
      </c>
      <c r="AH258" s="10">
        <v>5</v>
      </c>
      <c r="AI258" s="10">
        <v>255.61567942275099</v>
      </c>
      <c r="AK258" s="10">
        <v>2019</v>
      </c>
      <c r="AL258" s="10">
        <v>5</v>
      </c>
      <c r="AM258" s="10">
        <v>255.66562181312801</v>
      </c>
      <c r="AO258" s="10">
        <v>2019</v>
      </c>
      <c r="AP258" s="10">
        <v>5</v>
      </c>
      <c r="AQ258" s="10">
        <v>255.33330428649199</v>
      </c>
      <c r="AS258" s="10">
        <v>2019</v>
      </c>
      <c r="AT258" s="10">
        <v>5</v>
      </c>
      <c r="AU258" s="10">
        <v>255.68907634849299</v>
      </c>
      <c r="AW258" s="10">
        <v>2019</v>
      </c>
      <c r="AX258" s="10">
        <v>5</v>
      </c>
      <c r="AY258" s="10">
        <v>255.69432750817401</v>
      </c>
    </row>
    <row r="259" spans="1:51" x14ac:dyDescent="0.25">
      <c r="A259" s="8">
        <v>2019</v>
      </c>
      <c r="B259" s="8">
        <v>6</v>
      </c>
      <c r="C259" s="10">
        <v>257.68832123028801</v>
      </c>
      <c r="E259" s="10">
        <v>2019</v>
      </c>
      <c r="F259" s="10">
        <v>6</v>
      </c>
      <c r="G259" s="10">
        <v>255.88928482890501</v>
      </c>
      <c r="I259" s="10">
        <v>2019</v>
      </c>
      <c r="J259" s="10">
        <v>6</v>
      </c>
      <c r="K259" s="10">
        <v>255.86864855826099</v>
      </c>
      <c r="M259" s="10">
        <v>2019</v>
      </c>
      <c r="N259" s="10">
        <v>6</v>
      </c>
      <c r="O259" s="10">
        <v>255.908490962223</v>
      </c>
      <c r="Q259" s="10">
        <v>2019</v>
      </c>
      <c r="R259" s="10">
        <v>6</v>
      </c>
      <c r="S259" s="10">
        <v>256.04339169844798</v>
      </c>
      <c r="U259" s="10">
        <v>2019</v>
      </c>
      <c r="V259" s="10">
        <v>6</v>
      </c>
      <c r="W259" s="10">
        <v>256.06561190662802</v>
      </c>
      <c r="Y259" s="17">
        <v>2024</v>
      </c>
      <c r="Z259" s="17">
        <v>6</v>
      </c>
      <c r="AA259" s="17">
        <v>31916.7401522402</v>
      </c>
      <c r="AC259" s="10">
        <v>2019</v>
      </c>
      <c r="AD259" s="10">
        <v>6</v>
      </c>
      <c r="AE259" s="10">
        <v>256.05391445808999</v>
      </c>
      <c r="AG259" s="10">
        <v>2019</v>
      </c>
      <c r="AH259" s="10">
        <v>6</v>
      </c>
      <c r="AI259" s="10">
        <v>256.13756917206399</v>
      </c>
      <c r="AK259" s="10">
        <v>2019</v>
      </c>
      <c r="AL259" s="10">
        <v>6</v>
      </c>
      <c r="AM259" s="10">
        <v>256.10499574054001</v>
      </c>
      <c r="AO259" s="10">
        <v>2019</v>
      </c>
      <c r="AP259" s="10">
        <v>6</v>
      </c>
      <c r="AQ259" s="10">
        <v>256.06693874873503</v>
      </c>
      <c r="AS259" s="10">
        <v>2019</v>
      </c>
      <c r="AT259" s="10">
        <v>6</v>
      </c>
      <c r="AU259" s="10">
        <v>256.10247592287999</v>
      </c>
      <c r="AW259" s="10">
        <v>2019</v>
      </c>
      <c r="AX259" s="10">
        <v>6</v>
      </c>
      <c r="AY259" s="10">
        <v>256.10376757378401</v>
      </c>
    </row>
    <row r="260" spans="1:51" x14ac:dyDescent="0.25">
      <c r="A260" s="8">
        <v>2019</v>
      </c>
      <c r="B260" s="8">
        <v>7</v>
      </c>
      <c r="C260" s="10">
        <v>272.58368406036902</v>
      </c>
      <c r="E260" s="10">
        <v>2019</v>
      </c>
      <c r="F260" s="10">
        <v>7</v>
      </c>
      <c r="G260" s="10">
        <v>272.12259096709198</v>
      </c>
      <c r="I260" s="10">
        <v>2019</v>
      </c>
      <c r="J260" s="10">
        <v>7</v>
      </c>
      <c r="K260" s="10">
        <v>272.09795158163303</v>
      </c>
      <c r="M260" s="10">
        <v>2019</v>
      </c>
      <c r="N260" s="10">
        <v>7</v>
      </c>
      <c r="O260" s="10">
        <v>272.02636062990803</v>
      </c>
      <c r="Q260" s="10">
        <v>2019</v>
      </c>
      <c r="R260" s="10">
        <v>7</v>
      </c>
      <c r="S260" s="10">
        <v>271.627436671363</v>
      </c>
      <c r="U260" s="10">
        <v>2019</v>
      </c>
      <c r="V260" s="10">
        <v>7</v>
      </c>
      <c r="W260" s="10">
        <v>271.91625111270599</v>
      </c>
      <c r="Y260" s="17">
        <v>2024</v>
      </c>
      <c r="Z260" s="17">
        <v>7</v>
      </c>
      <c r="AA260" s="17">
        <v>34546.821523765997</v>
      </c>
      <c r="AC260" s="10">
        <v>2019</v>
      </c>
      <c r="AD260" s="10">
        <v>7</v>
      </c>
      <c r="AE260" s="10">
        <v>271.919040986825</v>
      </c>
      <c r="AG260" s="10">
        <v>2019</v>
      </c>
      <c r="AH260" s="10">
        <v>7</v>
      </c>
      <c r="AI260" s="10">
        <v>271.49749042220901</v>
      </c>
      <c r="AK260" s="10">
        <v>2019</v>
      </c>
      <c r="AL260" s="10">
        <v>7</v>
      </c>
      <c r="AM260" s="10">
        <v>271.54774934380799</v>
      </c>
      <c r="AO260" s="10">
        <v>2019</v>
      </c>
      <c r="AP260" s="10">
        <v>7</v>
      </c>
      <c r="AQ260" s="10">
        <v>271.57242102407901</v>
      </c>
      <c r="AS260" s="10">
        <v>2019</v>
      </c>
      <c r="AT260" s="10">
        <v>7</v>
      </c>
      <c r="AU260" s="10">
        <v>271.48700103776099</v>
      </c>
      <c r="AW260" s="10">
        <v>2019</v>
      </c>
      <c r="AX260" s="10">
        <v>7</v>
      </c>
      <c r="AY260" s="10">
        <v>271.48286850976899</v>
      </c>
    </row>
    <row r="261" spans="1:51" x14ac:dyDescent="0.25">
      <c r="A261" s="8">
        <v>2019</v>
      </c>
      <c r="B261" s="8">
        <v>8</v>
      </c>
      <c r="C261" s="10">
        <v>266.219676431918</v>
      </c>
      <c r="E261" s="10">
        <v>2019</v>
      </c>
      <c r="F261" s="10">
        <v>8</v>
      </c>
      <c r="G261" s="10">
        <v>262.26103600294601</v>
      </c>
      <c r="I261" s="10">
        <v>2019</v>
      </c>
      <c r="J261" s="10">
        <v>8</v>
      </c>
      <c r="K261" s="10">
        <v>262.52864756591703</v>
      </c>
      <c r="M261" s="10">
        <v>2019</v>
      </c>
      <c r="N261" s="10">
        <v>8</v>
      </c>
      <c r="O261" s="10">
        <v>262.128618426515</v>
      </c>
      <c r="Q261" s="10">
        <v>2019</v>
      </c>
      <c r="R261" s="10">
        <v>8</v>
      </c>
      <c r="S261" s="10">
        <v>262.547409265954</v>
      </c>
      <c r="U261" s="10">
        <v>2019</v>
      </c>
      <c r="V261" s="10">
        <v>8</v>
      </c>
      <c r="W261" s="10">
        <v>262.48829405139799</v>
      </c>
      <c r="Y261" s="17">
        <v>2024</v>
      </c>
      <c r="Z261" s="17">
        <v>8</v>
      </c>
      <c r="AA261" s="17">
        <v>37567.3663056183</v>
      </c>
      <c r="AC261" s="10">
        <v>2019</v>
      </c>
      <c r="AD261" s="10">
        <v>8</v>
      </c>
      <c r="AE261" s="10">
        <v>262.47953393612403</v>
      </c>
      <c r="AG261" s="10">
        <v>2019</v>
      </c>
      <c r="AH261" s="10">
        <v>8</v>
      </c>
      <c r="AI261" s="10">
        <v>262.45369072551802</v>
      </c>
      <c r="AK261" s="10">
        <v>2019</v>
      </c>
      <c r="AL261" s="10">
        <v>8</v>
      </c>
      <c r="AM261" s="10">
        <v>262.22810292110199</v>
      </c>
      <c r="AO261" s="10">
        <v>2019</v>
      </c>
      <c r="AP261" s="10">
        <v>8</v>
      </c>
      <c r="AQ261" s="10">
        <v>262.12234582324999</v>
      </c>
      <c r="AS261" s="10">
        <v>2019</v>
      </c>
      <c r="AT261" s="10">
        <v>8</v>
      </c>
      <c r="AU261" s="10">
        <v>262.18947040451002</v>
      </c>
      <c r="AW261" s="10">
        <v>2019</v>
      </c>
      <c r="AX261" s="10">
        <v>8</v>
      </c>
      <c r="AY261" s="10">
        <v>262.18672819581201</v>
      </c>
    </row>
    <row r="262" spans="1:51" x14ac:dyDescent="0.25">
      <c r="A262" s="8">
        <v>2019</v>
      </c>
      <c r="B262" s="8">
        <v>9</v>
      </c>
      <c r="C262" s="10">
        <v>276.694227733476</v>
      </c>
      <c r="E262" s="10">
        <v>2019</v>
      </c>
      <c r="F262" s="10">
        <v>9</v>
      </c>
      <c r="G262" s="10">
        <v>275.27137904273502</v>
      </c>
      <c r="I262" s="10">
        <v>2019</v>
      </c>
      <c r="J262" s="10">
        <v>9</v>
      </c>
      <c r="K262" s="10">
        <v>275.21718120645102</v>
      </c>
      <c r="M262" s="10">
        <v>2019</v>
      </c>
      <c r="N262" s="10">
        <v>9</v>
      </c>
      <c r="O262" s="10">
        <v>275.20333800570597</v>
      </c>
      <c r="Q262" s="10">
        <v>2019</v>
      </c>
      <c r="R262" s="10">
        <v>9</v>
      </c>
      <c r="S262" s="10">
        <v>275.27307056523301</v>
      </c>
      <c r="U262" s="10">
        <v>2019</v>
      </c>
      <c r="V262" s="10">
        <v>9</v>
      </c>
      <c r="W262" s="10">
        <v>275.24760917608398</v>
      </c>
      <c r="Y262" s="17">
        <v>2024</v>
      </c>
      <c r="Z262" s="17">
        <v>9</v>
      </c>
      <c r="AA262" s="17">
        <v>40777.464246310097</v>
      </c>
      <c r="AC262" s="10">
        <v>2019</v>
      </c>
      <c r="AD262" s="10">
        <v>9</v>
      </c>
      <c r="AE262" s="10">
        <v>275.241200117392</v>
      </c>
      <c r="AG262" s="10">
        <v>2019</v>
      </c>
      <c r="AH262" s="10">
        <v>9</v>
      </c>
      <c r="AI262" s="10">
        <v>275.28299383129303</v>
      </c>
      <c r="AK262" s="10">
        <v>2019</v>
      </c>
      <c r="AL262" s="10">
        <v>9</v>
      </c>
      <c r="AM262" s="10">
        <v>275.24664617946701</v>
      </c>
      <c r="AO262" s="10">
        <v>2019</v>
      </c>
      <c r="AP262" s="10">
        <v>9</v>
      </c>
      <c r="AQ262" s="10">
        <v>275.18801590958202</v>
      </c>
      <c r="AS262" s="10">
        <v>2019</v>
      </c>
      <c r="AT262" s="10">
        <v>9</v>
      </c>
      <c r="AU262" s="10">
        <v>275.22419104201799</v>
      </c>
      <c r="AW262" s="10">
        <v>2019</v>
      </c>
      <c r="AX262" s="10">
        <v>9</v>
      </c>
      <c r="AY262" s="10">
        <v>275.221383472931</v>
      </c>
    </row>
    <row r="263" spans="1:51" x14ac:dyDescent="0.25">
      <c r="A263" s="8">
        <v>2019</v>
      </c>
      <c r="B263" s="8">
        <v>10</v>
      </c>
      <c r="C263" s="10">
        <v>275.21690956275199</v>
      </c>
      <c r="E263" s="10">
        <v>2019</v>
      </c>
      <c r="F263" s="10">
        <v>10</v>
      </c>
      <c r="G263" s="10">
        <v>274.38588428235602</v>
      </c>
      <c r="I263" s="10">
        <v>2019</v>
      </c>
      <c r="J263" s="10">
        <v>10</v>
      </c>
      <c r="K263" s="10">
        <v>274.34297120938101</v>
      </c>
      <c r="M263" s="10">
        <v>2019</v>
      </c>
      <c r="N263" s="10">
        <v>10</v>
      </c>
      <c r="O263" s="10">
        <v>274.28465819664899</v>
      </c>
      <c r="Q263" s="10">
        <v>2019</v>
      </c>
      <c r="R263" s="10">
        <v>10</v>
      </c>
      <c r="S263" s="10">
        <v>274.23007004448601</v>
      </c>
      <c r="U263" s="10">
        <v>2019</v>
      </c>
      <c r="V263" s="10">
        <v>10</v>
      </c>
      <c r="W263" s="10">
        <v>274.14233007961599</v>
      </c>
      <c r="Y263" s="17">
        <v>2024</v>
      </c>
      <c r="Z263" s="17">
        <v>10</v>
      </c>
      <c r="AA263" s="17">
        <v>44484.340780795101</v>
      </c>
      <c r="AC263" s="10">
        <v>2019</v>
      </c>
      <c r="AD263" s="10">
        <v>10</v>
      </c>
      <c r="AE263" s="10">
        <v>274.14637607123802</v>
      </c>
      <c r="AG263" s="10">
        <v>2019</v>
      </c>
      <c r="AH263" s="10">
        <v>10</v>
      </c>
      <c r="AI263" s="10">
        <v>274.13339599325298</v>
      </c>
      <c r="AK263" s="10">
        <v>2019</v>
      </c>
      <c r="AL263" s="10">
        <v>10</v>
      </c>
      <c r="AM263" s="10">
        <v>274.14649855698201</v>
      </c>
      <c r="AO263" s="10">
        <v>2019</v>
      </c>
      <c r="AP263" s="10">
        <v>10</v>
      </c>
      <c r="AQ263" s="10">
        <v>274.01585128174401</v>
      </c>
      <c r="AS263" s="10">
        <v>2019</v>
      </c>
      <c r="AT263" s="10">
        <v>10</v>
      </c>
      <c r="AU263" s="10">
        <v>274.107907865953</v>
      </c>
      <c r="AW263" s="10">
        <v>2019</v>
      </c>
      <c r="AX263" s="10">
        <v>10</v>
      </c>
      <c r="AY263" s="10">
        <v>274.09952144924699</v>
      </c>
    </row>
    <row r="264" spans="1:51" x14ac:dyDescent="0.25">
      <c r="A264" s="8">
        <v>2019</v>
      </c>
      <c r="B264" s="8">
        <v>11</v>
      </c>
      <c r="C264" s="10">
        <v>271.43733239412097</v>
      </c>
      <c r="E264" s="10">
        <v>2019</v>
      </c>
      <c r="F264" s="10">
        <v>11</v>
      </c>
      <c r="G264" s="10">
        <v>273.30441107624603</v>
      </c>
      <c r="I264" s="10">
        <v>2019</v>
      </c>
      <c r="J264" s="10">
        <v>11</v>
      </c>
      <c r="K264" s="10">
        <v>273.247876529123</v>
      </c>
      <c r="M264" s="10">
        <v>2019</v>
      </c>
      <c r="N264" s="10">
        <v>11</v>
      </c>
      <c r="O264" s="10">
        <v>273.37304184577101</v>
      </c>
      <c r="Q264" s="10">
        <v>2019</v>
      </c>
      <c r="R264" s="10">
        <v>11</v>
      </c>
      <c r="S264" s="10">
        <v>273.20869762237299</v>
      </c>
      <c r="U264" s="10">
        <v>2019</v>
      </c>
      <c r="V264" s="10">
        <v>11</v>
      </c>
      <c r="W264" s="10">
        <v>273.25929811805503</v>
      </c>
      <c r="Y264" s="17">
        <v>2024</v>
      </c>
      <c r="Z264" s="17">
        <v>11</v>
      </c>
      <c r="AA264" s="17">
        <v>48173.628912253203</v>
      </c>
      <c r="AC264" s="10">
        <v>2019</v>
      </c>
      <c r="AD264" s="10">
        <v>11</v>
      </c>
      <c r="AE264" s="10">
        <v>273.248972944478</v>
      </c>
      <c r="AG264" s="10">
        <v>2019</v>
      </c>
      <c r="AH264" s="10">
        <v>11</v>
      </c>
      <c r="AI264" s="10">
        <v>273.27842281235797</v>
      </c>
      <c r="AK264" s="10">
        <v>2019</v>
      </c>
      <c r="AL264" s="10">
        <v>11</v>
      </c>
      <c r="AM264" s="10">
        <v>273.28599944408501</v>
      </c>
      <c r="AO264" s="10">
        <v>2019</v>
      </c>
      <c r="AP264" s="10">
        <v>11</v>
      </c>
      <c r="AQ264" s="10">
        <v>273.322579376546</v>
      </c>
      <c r="AS264" s="10">
        <v>2019</v>
      </c>
      <c r="AT264" s="10">
        <v>11</v>
      </c>
      <c r="AU264" s="10">
        <v>273.28861716586999</v>
      </c>
      <c r="AW264" s="10">
        <v>2019</v>
      </c>
      <c r="AX264" s="10">
        <v>11</v>
      </c>
      <c r="AY264" s="10">
        <v>273.27926403924903</v>
      </c>
    </row>
    <row r="265" spans="1:51" x14ac:dyDescent="0.25">
      <c r="A265" s="8">
        <v>2019</v>
      </c>
      <c r="B265" s="8">
        <v>12</v>
      </c>
      <c r="C265" s="10">
        <v>272.43130049217802</v>
      </c>
      <c r="E265" s="10">
        <v>2019</v>
      </c>
      <c r="F265" s="10">
        <v>12</v>
      </c>
      <c r="G265" s="10">
        <v>274.01268441522097</v>
      </c>
      <c r="I265" s="10">
        <v>2019</v>
      </c>
      <c r="J265" s="10">
        <v>12</v>
      </c>
      <c r="K265" s="10">
        <v>273.99647178413397</v>
      </c>
      <c r="M265" s="10">
        <v>2019</v>
      </c>
      <c r="N265" s="10">
        <v>12</v>
      </c>
      <c r="O265" s="10">
        <v>274.05867184526397</v>
      </c>
      <c r="Q265" s="10">
        <v>2019</v>
      </c>
      <c r="R265" s="10">
        <v>12</v>
      </c>
      <c r="S265" s="10">
        <v>273.90871199758101</v>
      </c>
      <c r="U265" s="10">
        <v>2019</v>
      </c>
      <c r="V265" s="10">
        <v>12</v>
      </c>
      <c r="W265" s="10">
        <v>273.92540076974302</v>
      </c>
      <c r="Y265" s="17">
        <v>2024</v>
      </c>
      <c r="Z265" s="17">
        <v>12</v>
      </c>
      <c r="AA265" s="17">
        <v>51290.758538922397</v>
      </c>
      <c r="AC265" s="10">
        <v>2019</v>
      </c>
      <c r="AD265" s="10">
        <v>12</v>
      </c>
      <c r="AE265" s="10">
        <v>273.928117050325</v>
      </c>
      <c r="AG265" s="10">
        <v>2019</v>
      </c>
      <c r="AH265" s="10">
        <v>12</v>
      </c>
      <c r="AI265" s="10">
        <v>273.93489947832001</v>
      </c>
      <c r="AK265" s="10">
        <v>2019</v>
      </c>
      <c r="AL265" s="10">
        <v>12</v>
      </c>
      <c r="AM265" s="10">
        <v>273.93972174456002</v>
      </c>
      <c r="AO265" s="10">
        <v>2019</v>
      </c>
      <c r="AP265" s="10">
        <v>12</v>
      </c>
      <c r="AQ265" s="10">
        <v>273.885203107986</v>
      </c>
      <c r="AS265" s="10">
        <v>2019</v>
      </c>
      <c r="AT265" s="10">
        <v>12</v>
      </c>
      <c r="AU265" s="10">
        <v>273.95962802528499</v>
      </c>
      <c r="AW265" s="10">
        <v>2019</v>
      </c>
      <c r="AX265" s="10">
        <v>12</v>
      </c>
      <c r="AY265" s="10">
        <v>273.95429574393899</v>
      </c>
    </row>
    <row r="266" spans="1:51" x14ac:dyDescent="0.25">
      <c r="A266" s="8">
        <v>2020</v>
      </c>
      <c r="B266" s="8">
        <v>1</v>
      </c>
      <c r="C266" s="10">
        <v>248.816504951886</v>
      </c>
      <c r="E266" s="10">
        <v>2020</v>
      </c>
      <c r="F266" s="10">
        <v>1</v>
      </c>
      <c r="G266" s="10">
        <v>261.80602280085202</v>
      </c>
      <c r="I266" s="10">
        <v>2020</v>
      </c>
      <c r="J266" s="10">
        <v>1</v>
      </c>
      <c r="K266" s="10">
        <v>261.71001097556803</v>
      </c>
      <c r="M266" s="10">
        <v>2020</v>
      </c>
      <c r="N266" s="10">
        <v>1</v>
      </c>
      <c r="O266" s="10">
        <v>261.86861855438502</v>
      </c>
      <c r="Q266" s="10">
        <v>2020</v>
      </c>
      <c r="R266" s="10">
        <v>1</v>
      </c>
      <c r="S266" s="10">
        <v>261.70285253620602</v>
      </c>
      <c r="U266" s="10">
        <v>2020</v>
      </c>
      <c r="V266" s="10">
        <v>1</v>
      </c>
      <c r="W266" s="10">
        <v>261.66762638057099</v>
      </c>
      <c r="Y266" s="17">
        <v>2025</v>
      </c>
      <c r="Z266" s="17">
        <v>1</v>
      </c>
      <c r="AA266" s="17">
        <v>55211.552102896203</v>
      </c>
      <c r="AC266" s="10">
        <v>2020</v>
      </c>
      <c r="AD266" s="10">
        <v>1</v>
      </c>
      <c r="AE266" s="10">
        <v>261.67773921358997</v>
      </c>
      <c r="AG266" s="10">
        <v>2020</v>
      </c>
      <c r="AH266" s="10">
        <v>1</v>
      </c>
      <c r="AI266" s="10">
        <v>261.66637674529699</v>
      </c>
      <c r="AK266" s="10">
        <v>2020</v>
      </c>
      <c r="AL266" s="10">
        <v>1</v>
      </c>
      <c r="AM266" s="10">
        <v>261.70200391349101</v>
      </c>
      <c r="AO266" s="10">
        <v>2020</v>
      </c>
      <c r="AP266" s="10">
        <v>1</v>
      </c>
      <c r="AQ266" s="10">
        <v>261.595755099276</v>
      </c>
      <c r="AS266" s="10">
        <v>2020</v>
      </c>
      <c r="AT266" s="10">
        <v>1</v>
      </c>
      <c r="AU266" s="10">
        <v>261.72055054256998</v>
      </c>
      <c r="AW266" s="10">
        <v>2020</v>
      </c>
      <c r="AX266" s="10">
        <v>1</v>
      </c>
      <c r="AY266" s="10">
        <v>261.71547940333801</v>
      </c>
    </row>
    <row r="267" spans="1:51" x14ac:dyDescent="0.25">
      <c r="E267" s="10">
        <v>2020</v>
      </c>
      <c r="F267" s="10">
        <v>2</v>
      </c>
      <c r="G267" s="10">
        <v>256.825583319077</v>
      </c>
      <c r="I267" s="10">
        <v>2020</v>
      </c>
      <c r="J267" s="10">
        <v>2</v>
      </c>
      <c r="K267" s="10">
        <v>256.85365292398802</v>
      </c>
      <c r="M267" s="10">
        <v>2020</v>
      </c>
      <c r="N267" s="10">
        <v>2</v>
      </c>
      <c r="O267" s="10">
        <v>256.92416017471999</v>
      </c>
      <c r="Q267" s="10">
        <v>2020</v>
      </c>
      <c r="R267" s="10">
        <v>2</v>
      </c>
      <c r="S267" s="10">
        <v>257.14702069909703</v>
      </c>
      <c r="U267" s="10">
        <v>2020</v>
      </c>
      <c r="V267" s="10">
        <v>2</v>
      </c>
      <c r="W267" s="10">
        <v>257.08464696858903</v>
      </c>
      <c r="Y267" s="17">
        <v>2025</v>
      </c>
      <c r="Z267" s="17">
        <v>2</v>
      </c>
      <c r="AA267" s="17">
        <v>58182.565202647304</v>
      </c>
      <c r="AC267" s="10">
        <v>2020</v>
      </c>
      <c r="AD267" s="10">
        <v>2</v>
      </c>
      <c r="AE267" s="10">
        <v>257.09497804386098</v>
      </c>
      <c r="AG267" s="10">
        <v>2020</v>
      </c>
      <c r="AH267" s="10">
        <v>2</v>
      </c>
      <c r="AI267" s="10">
        <v>257.210200902248</v>
      </c>
      <c r="AK267" s="10">
        <v>2020</v>
      </c>
      <c r="AL267" s="10">
        <v>2</v>
      </c>
      <c r="AM267" s="10">
        <v>257.23747183190301</v>
      </c>
      <c r="AO267" s="10">
        <v>2020</v>
      </c>
      <c r="AP267" s="10">
        <v>2</v>
      </c>
      <c r="AQ267" s="10">
        <v>257.07985508333701</v>
      </c>
      <c r="AS267" s="10">
        <v>2020</v>
      </c>
      <c r="AT267" s="10">
        <v>2</v>
      </c>
      <c r="AU267" s="10">
        <v>256.61734690159699</v>
      </c>
      <c r="AW267" s="10">
        <v>2020</v>
      </c>
      <c r="AX267" s="10">
        <v>2</v>
      </c>
      <c r="AY267" s="10">
        <v>256.53134825025398</v>
      </c>
    </row>
    <row r="268" spans="1:51" x14ac:dyDescent="0.25">
      <c r="E268" s="10">
        <v>2020</v>
      </c>
      <c r="F268" s="10">
        <v>3</v>
      </c>
      <c r="G268" s="10">
        <v>240.54470125379001</v>
      </c>
      <c r="I268" s="10">
        <v>2020</v>
      </c>
      <c r="J268" s="10">
        <v>3</v>
      </c>
      <c r="K268" s="10">
        <v>240.568933871784</v>
      </c>
      <c r="M268" s="10">
        <v>2020</v>
      </c>
      <c r="N268" s="10">
        <v>3</v>
      </c>
      <c r="O268" s="10">
        <v>240.73522759975199</v>
      </c>
      <c r="Q268" s="10">
        <v>2020</v>
      </c>
      <c r="R268" s="10">
        <v>3</v>
      </c>
      <c r="S268" s="10">
        <v>240.75402730906501</v>
      </c>
      <c r="U268" s="10">
        <v>2020</v>
      </c>
      <c r="V268" s="10">
        <v>3</v>
      </c>
      <c r="W268" s="10">
        <v>240.823477780644</v>
      </c>
      <c r="Y268" s="17">
        <v>2025</v>
      </c>
      <c r="Z268" s="17">
        <v>3</v>
      </c>
      <c r="AA268" s="17">
        <v>60193.299177895096</v>
      </c>
      <c r="AC268" s="10">
        <v>2020</v>
      </c>
      <c r="AD268" s="10">
        <v>3</v>
      </c>
      <c r="AE268" s="10">
        <v>240.84875798596499</v>
      </c>
      <c r="AG268" s="10">
        <v>2020</v>
      </c>
      <c r="AH268" s="10">
        <v>3</v>
      </c>
      <c r="AI268" s="10">
        <v>240.91757544583299</v>
      </c>
      <c r="AK268" s="10">
        <v>2020</v>
      </c>
      <c r="AL268" s="10">
        <v>3</v>
      </c>
      <c r="AM268" s="10">
        <v>240.986973332465</v>
      </c>
      <c r="AO268" s="10">
        <v>2020</v>
      </c>
      <c r="AP268" s="10">
        <v>3</v>
      </c>
      <c r="AQ268" s="10">
        <v>242.060510864837</v>
      </c>
      <c r="AS268" s="10">
        <v>2020</v>
      </c>
      <c r="AT268" s="10">
        <v>3</v>
      </c>
      <c r="AU268" s="10">
        <v>241.078565025888</v>
      </c>
      <c r="AW268" s="10">
        <v>2020</v>
      </c>
      <c r="AX268" s="10">
        <v>3</v>
      </c>
      <c r="AY268" s="10">
        <v>241.08586343751901</v>
      </c>
    </row>
    <row r="269" spans="1:51" x14ac:dyDescent="0.25">
      <c r="E269" s="10">
        <v>2020</v>
      </c>
      <c r="F269" s="10">
        <v>4</v>
      </c>
      <c r="G269" s="10">
        <v>269.58955200177098</v>
      </c>
      <c r="I269" s="10">
        <v>2020</v>
      </c>
      <c r="J269" s="10">
        <v>4</v>
      </c>
      <c r="K269" s="10">
        <v>269.58605063649298</v>
      </c>
      <c r="M269" s="10">
        <v>2020</v>
      </c>
      <c r="N269" s="10">
        <v>4</v>
      </c>
      <c r="O269" s="10">
        <v>269.64555338595801</v>
      </c>
      <c r="Q269" s="10">
        <v>2020</v>
      </c>
      <c r="R269" s="10">
        <v>4</v>
      </c>
      <c r="S269" s="10">
        <v>269.61598386815803</v>
      </c>
      <c r="U269" s="10">
        <v>2020</v>
      </c>
      <c r="V269" s="10">
        <v>4</v>
      </c>
      <c r="W269" s="10">
        <v>269.44016526355898</v>
      </c>
      <c r="Y269" s="17">
        <v>2025</v>
      </c>
      <c r="Z269" s="17">
        <v>4</v>
      </c>
      <c r="AA269" s="17">
        <v>62434.973655376503</v>
      </c>
      <c r="AC269" s="10">
        <v>2020</v>
      </c>
      <c r="AD269" s="10">
        <v>4</v>
      </c>
      <c r="AE269" s="10">
        <v>269.440069266215</v>
      </c>
      <c r="AG269" s="10">
        <v>2020</v>
      </c>
      <c r="AH269" s="10">
        <v>4</v>
      </c>
      <c r="AI269" s="10">
        <v>269.490909237653</v>
      </c>
      <c r="AK269" s="10">
        <v>2020</v>
      </c>
      <c r="AL269" s="10">
        <v>4</v>
      </c>
      <c r="AM269" s="10">
        <v>269.58868943967502</v>
      </c>
      <c r="AO269" s="10">
        <v>2020</v>
      </c>
      <c r="AP269" s="10">
        <v>4</v>
      </c>
      <c r="AQ269" s="10">
        <v>269.46576554041502</v>
      </c>
      <c r="AS269" s="10">
        <v>2020</v>
      </c>
      <c r="AT269" s="10">
        <v>4</v>
      </c>
      <c r="AU269" s="10">
        <v>269.593639615359</v>
      </c>
      <c r="AW269" s="10">
        <v>2020</v>
      </c>
      <c r="AX269" s="10">
        <v>4</v>
      </c>
      <c r="AY269" s="10">
        <v>269.59372811399697</v>
      </c>
    </row>
    <row r="270" spans="1:51" x14ac:dyDescent="0.25">
      <c r="E270" s="10">
        <v>2020</v>
      </c>
      <c r="F270" s="10">
        <v>5</v>
      </c>
      <c r="G270" s="10">
        <v>266.630540254192</v>
      </c>
      <c r="I270" s="10">
        <v>2020</v>
      </c>
      <c r="J270" s="10">
        <v>5</v>
      </c>
      <c r="K270" s="10">
        <v>266.614431797571</v>
      </c>
      <c r="M270" s="10">
        <v>2020</v>
      </c>
      <c r="N270" s="10">
        <v>5</v>
      </c>
      <c r="O270" s="10">
        <v>266.708743845014</v>
      </c>
      <c r="Q270" s="10">
        <v>2020</v>
      </c>
      <c r="R270" s="10">
        <v>5</v>
      </c>
      <c r="S270" s="10">
        <v>266.88732171801701</v>
      </c>
      <c r="U270" s="10">
        <v>2020</v>
      </c>
      <c r="V270" s="10">
        <v>5</v>
      </c>
      <c r="W270" s="10">
        <v>266.871147573396</v>
      </c>
      <c r="Y270" s="17">
        <v>2025</v>
      </c>
      <c r="Z270" s="17">
        <v>5</v>
      </c>
      <c r="AA270" s="17">
        <v>63865.046540159397</v>
      </c>
      <c r="AC270" s="10">
        <v>2020</v>
      </c>
      <c r="AD270" s="10">
        <v>5</v>
      </c>
      <c r="AE270" s="10">
        <v>266.85218198826601</v>
      </c>
      <c r="AG270" s="10">
        <v>2020</v>
      </c>
      <c r="AH270" s="10">
        <v>5</v>
      </c>
      <c r="AI270" s="10">
        <v>267.00887203562002</v>
      </c>
      <c r="AK270" s="10">
        <v>2020</v>
      </c>
      <c r="AL270" s="10">
        <v>5</v>
      </c>
      <c r="AM270" s="10">
        <v>267.01508794863997</v>
      </c>
      <c r="AO270" s="10">
        <v>2020</v>
      </c>
      <c r="AP270" s="10">
        <v>5</v>
      </c>
      <c r="AQ270" s="10">
        <v>266.76855844719501</v>
      </c>
      <c r="AS270" s="10">
        <v>2020</v>
      </c>
      <c r="AT270" s="10">
        <v>5</v>
      </c>
      <c r="AU270" s="10">
        <v>267.07943890711601</v>
      </c>
      <c r="AW270" s="10">
        <v>2020</v>
      </c>
      <c r="AX270" s="10">
        <v>5</v>
      </c>
      <c r="AY270" s="10">
        <v>267.09237263374303</v>
      </c>
    </row>
    <row r="271" spans="1:51" x14ac:dyDescent="0.25">
      <c r="E271" s="10">
        <v>2020</v>
      </c>
      <c r="F271" s="10">
        <v>6</v>
      </c>
      <c r="G271" s="10">
        <v>268.43725070958698</v>
      </c>
      <c r="I271" s="10">
        <v>2020</v>
      </c>
      <c r="J271" s="10">
        <v>6</v>
      </c>
      <c r="K271" s="10">
        <v>268.44891472975598</v>
      </c>
      <c r="M271" s="10">
        <v>2020</v>
      </c>
      <c r="N271" s="10">
        <v>6</v>
      </c>
      <c r="O271" s="10">
        <v>268.38553384969902</v>
      </c>
      <c r="Q271" s="10">
        <v>2020</v>
      </c>
      <c r="R271" s="10">
        <v>6</v>
      </c>
      <c r="S271" s="10">
        <v>268.33644219770298</v>
      </c>
      <c r="U271" s="10">
        <v>2020</v>
      </c>
      <c r="V271" s="10">
        <v>6</v>
      </c>
      <c r="W271" s="10">
        <v>268.15980681001298</v>
      </c>
      <c r="Y271" s="17">
        <v>2025</v>
      </c>
      <c r="Z271" s="17">
        <v>6</v>
      </c>
      <c r="AA271" s="17">
        <v>61658.214106917898</v>
      </c>
      <c r="AC271" s="10">
        <v>2020</v>
      </c>
      <c r="AD271" s="10">
        <v>6</v>
      </c>
      <c r="AE271" s="10">
        <v>268.15169462638698</v>
      </c>
      <c r="AG271" s="10">
        <v>2020</v>
      </c>
      <c r="AH271" s="10">
        <v>6</v>
      </c>
      <c r="AI271" s="10">
        <v>268.20298386978499</v>
      </c>
      <c r="AK271" s="10">
        <v>2020</v>
      </c>
      <c r="AL271" s="10">
        <v>6</v>
      </c>
      <c r="AM271" s="10">
        <v>268.30654174969902</v>
      </c>
      <c r="AO271" s="10">
        <v>2020</v>
      </c>
      <c r="AP271" s="10">
        <v>6</v>
      </c>
      <c r="AQ271" s="10">
        <v>268.20698814892199</v>
      </c>
      <c r="AS271" s="10">
        <v>2020</v>
      </c>
      <c r="AT271" s="10">
        <v>6</v>
      </c>
      <c r="AU271" s="10">
        <v>268.25662113284397</v>
      </c>
      <c r="AW271" s="10">
        <v>2020</v>
      </c>
      <c r="AX271" s="10">
        <v>6</v>
      </c>
      <c r="AY271" s="10">
        <v>268.25869088856598</v>
      </c>
    </row>
    <row r="272" spans="1:51" x14ac:dyDescent="0.25">
      <c r="E272" s="10">
        <v>2020</v>
      </c>
      <c r="F272" s="10">
        <v>7</v>
      </c>
      <c r="G272" s="10">
        <v>262.00544748584502</v>
      </c>
      <c r="I272" s="10">
        <v>2020</v>
      </c>
      <c r="J272" s="10">
        <v>7</v>
      </c>
      <c r="K272" s="10">
        <v>261.997024131393</v>
      </c>
      <c r="M272" s="10">
        <v>2020</v>
      </c>
      <c r="N272" s="10">
        <v>7</v>
      </c>
      <c r="O272" s="10">
        <v>261.83309565782798</v>
      </c>
      <c r="Q272" s="10">
        <v>2020</v>
      </c>
      <c r="R272" s="10">
        <v>7</v>
      </c>
      <c r="S272" s="10">
        <v>261.51836259658199</v>
      </c>
      <c r="U272" s="10">
        <v>2020</v>
      </c>
      <c r="V272" s="10">
        <v>7</v>
      </c>
      <c r="W272" s="10">
        <v>261.65718597425501</v>
      </c>
      <c r="AC272" s="10">
        <v>2020</v>
      </c>
      <c r="AD272" s="10">
        <v>7</v>
      </c>
      <c r="AE272" s="10">
        <v>261.64542486162298</v>
      </c>
      <c r="AG272" s="10">
        <v>2020</v>
      </c>
      <c r="AH272" s="10">
        <v>7</v>
      </c>
      <c r="AI272" s="10">
        <v>261.21797820596902</v>
      </c>
      <c r="AK272" s="10">
        <v>2020</v>
      </c>
      <c r="AL272" s="10">
        <v>7</v>
      </c>
      <c r="AM272" s="10">
        <v>261.35867534214901</v>
      </c>
      <c r="AO272" s="10">
        <v>2020</v>
      </c>
      <c r="AP272" s="10">
        <v>7</v>
      </c>
      <c r="AQ272" s="10">
        <v>261.37695128726301</v>
      </c>
      <c r="AS272" s="10">
        <v>2020</v>
      </c>
      <c r="AT272" s="10">
        <v>7</v>
      </c>
      <c r="AU272" s="10">
        <v>261.25596578076102</v>
      </c>
      <c r="AW272" s="10">
        <v>2020</v>
      </c>
      <c r="AX272" s="10">
        <v>7</v>
      </c>
      <c r="AY272" s="10">
        <v>261.25800549091099</v>
      </c>
    </row>
    <row r="273" spans="5:51" x14ac:dyDescent="0.25">
      <c r="E273" s="10">
        <v>2020</v>
      </c>
      <c r="F273" s="10">
        <v>8</v>
      </c>
      <c r="G273" s="10">
        <v>263.38346975297799</v>
      </c>
      <c r="I273" s="10">
        <v>2020</v>
      </c>
      <c r="J273" s="10">
        <v>8</v>
      </c>
      <c r="K273" s="10">
        <v>263.80454121517897</v>
      </c>
      <c r="M273" s="10">
        <v>2020</v>
      </c>
      <c r="N273" s="10">
        <v>8</v>
      </c>
      <c r="O273" s="10">
        <v>263.13999964707898</v>
      </c>
      <c r="Q273" s="10">
        <v>2020</v>
      </c>
      <c r="R273" s="10">
        <v>8</v>
      </c>
      <c r="S273" s="10">
        <v>264.22730515630502</v>
      </c>
      <c r="U273" s="10">
        <v>2020</v>
      </c>
      <c r="V273" s="10">
        <v>8</v>
      </c>
      <c r="W273" s="10">
        <v>264.36451817674799</v>
      </c>
      <c r="AC273" s="10">
        <v>2020</v>
      </c>
      <c r="AD273" s="10">
        <v>8</v>
      </c>
      <c r="AE273" s="10">
        <v>264.36510627084601</v>
      </c>
      <c r="AG273" s="10">
        <v>2020</v>
      </c>
      <c r="AH273" s="10">
        <v>8</v>
      </c>
      <c r="AI273" s="10">
        <v>264.30161562648999</v>
      </c>
      <c r="AK273" s="10">
        <v>2020</v>
      </c>
      <c r="AL273" s="10">
        <v>8</v>
      </c>
      <c r="AM273" s="10">
        <v>263.55018470012499</v>
      </c>
      <c r="AO273" s="10">
        <v>2020</v>
      </c>
      <c r="AP273" s="10">
        <v>8</v>
      </c>
      <c r="AQ273" s="10">
        <v>263.22708443468298</v>
      </c>
      <c r="AS273" s="10">
        <v>2020</v>
      </c>
      <c r="AT273" s="10">
        <v>8</v>
      </c>
      <c r="AU273" s="10">
        <v>263.50758187209902</v>
      </c>
      <c r="AW273" s="10">
        <v>2020</v>
      </c>
      <c r="AX273" s="10">
        <v>8</v>
      </c>
      <c r="AY273" s="10">
        <v>263.50778650499001</v>
      </c>
    </row>
    <row r="274" spans="5:51" x14ac:dyDescent="0.25">
      <c r="E274" s="10">
        <v>2020</v>
      </c>
      <c r="F274" s="10">
        <v>9</v>
      </c>
      <c r="G274" s="10">
        <v>269.141833542813</v>
      </c>
      <c r="I274" s="10">
        <v>2020</v>
      </c>
      <c r="J274" s="10">
        <v>9</v>
      </c>
      <c r="K274" s="10">
        <v>268.97048143643502</v>
      </c>
      <c r="M274" s="10">
        <v>2020</v>
      </c>
      <c r="N274" s="10">
        <v>9</v>
      </c>
      <c r="O274" s="10">
        <v>268.88119172932301</v>
      </c>
      <c r="Q274" s="10">
        <v>2020</v>
      </c>
      <c r="R274" s="10">
        <v>9</v>
      </c>
      <c r="S274" s="10">
        <v>268.813183636426</v>
      </c>
      <c r="U274" s="10">
        <v>2020</v>
      </c>
      <c r="V274" s="10">
        <v>9</v>
      </c>
      <c r="W274" s="10">
        <v>268.68627998841498</v>
      </c>
      <c r="AC274" s="10">
        <v>2020</v>
      </c>
      <c r="AD274" s="10">
        <v>9</v>
      </c>
      <c r="AE274" s="10">
        <v>268.67543330193303</v>
      </c>
      <c r="AG274" s="10">
        <v>2020</v>
      </c>
      <c r="AH274" s="10">
        <v>9</v>
      </c>
      <c r="AI274" s="10">
        <v>268.67497450736198</v>
      </c>
      <c r="AK274" s="10">
        <v>2020</v>
      </c>
      <c r="AL274" s="10">
        <v>9</v>
      </c>
      <c r="AM274" s="10">
        <v>268.78261495722501</v>
      </c>
      <c r="AO274" s="10">
        <v>2020</v>
      </c>
      <c r="AP274" s="10">
        <v>9</v>
      </c>
      <c r="AQ274" s="10">
        <v>268.681848795912</v>
      </c>
      <c r="AS274" s="10">
        <v>2020</v>
      </c>
      <c r="AT274" s="10">
        <v>9</v>
      </c>
      <c r="AU274" s="10">
        <v>268.662732233486</v>
      </c>
      <c r="AW274" s="10">
        <v>2020</v>
      </c>
      <c r="AX274" s="10">
        <v>9</v>
      </c>
      <c r="AY274" s="10">
        <v>268.65554747929701</v>
      </c>
    </row>
    <row r="275" spans="5:51" x14ac:dyDescent="0.25">
      <c r="E275" s="10">
        <v>2020</v>
      </c>
      <c r="F275" s="10">
        <v>10</v>
      </c>
      <c r="G275" s="10">
        <v>270.69335159461002</v>
      </c>
      <c r="I275" s="10">
        <v>2020</v>
      </c>
      <c r="J275" s="10">
        <v>10</v>
      </c>
      <c r="K275" s="10">
        <v>270.53051025367</v>
      </c>
      <c r="M275" s="10">
        <v>2020</v>
      </c>
      <c r="N275" s="10">
        <v>10</v>
      </c>
      <c r="O275" s="10">
        <v>270.50066667800098</v>
      </c>
      <c r="Q275" s="10">
        <v>2020</v>
      </c>
      <c r="R275" s="10">
        <v>10</v>
      </c>
      <c r="S275" s="10">
        <v>270.31115125141099</v>
      </c>
      <c r="U275" s="10">
        <v>2020</v>
      </c>
      <c r="V275" s="10">
        <v>10</v>
      </c>
      <c r="W275" s="10">
        <v>270.283540934462</v>
      </c>
      <c r="AC275" s="10">
        <v>2020</v>
      </c>
      <c r="AD275" s="10">
        <v>10</v>
      </c>
      <c r="AE275" s="10">
        <v>270.27824994584302</v>
      </c>
      <c r="AG275" s="10">
        <v>2020</v>
      </c>
      <c r="AH275" s="10">
        <v>10</v>
      </c>
      <c r="AI275" s="10">
        <v>270.26729373049</v>
      </c>
      <c r="AK275" s="10">
        <v>2020</v>
      </c>
      <c r="AL275" s="10">
        <v>10</v>
      </c>
      <c r="AM275" s="10">
        <v>270.36020811297197</v>
      </c>
      <c r="AO275" s="10">
        <v>2020</v>
      </c>
      <c r="AP275" s="10">
        <v>10</v>
      </c>
      <c r="AQ275" s="10">
        <v>270.30783630178598</v>
      </c>
      <c r="AS275" s="10">
        <v>2020</v>
      </c>
      <c r="AT275" s="10">
        <v>10</v>
      </c>
      <c r="AU275" s="10">
        <v>270.26552293618897</v>
      </c>
      <c r="AW275" s="10">
        <v>2020</v>
      </c>
      <c r="AX275" s="10">
        <v>10</v>
      </c>
      <c r="AY275" s="10">
        <v>270.25183355524501</v>
      </c>
    </row>
    <row r="276" spans="5:51" x14ac:dyDescent="0.25">
      <c r="E276" s="10">
        <v>2020</v>
      </c>
      <c r="F276" s="10">
        <v>11</v>
      </c>
      <c r="G276" s="10">
        <v>280.74445941538102</v>
      </c>
      <c r="I276" s="10">
        <v>2020</v>
      </c>
      <c r="J276" s="10">
        <v>11</v>
      </c>
      <c r="K276" s="10">
        <v>280.64509860242299</v>
      </c>
      <c r="M276" s="10">
        <v>2020</v>
      </c>
      <c r="N276" s="10">
        <v>11</v>
      </c>
      <c r="O276" s="10">
        <v>280.92794730760801</v>
      </c>
      <c r="Q276" s="10">
        <v>2020</v>
      </c>
      <c r="R276" s="10">
        <v>11</v>
      </c>
      <c r="S276" s="10">
        <v>280.56595035525697</v>
      </c>
      <c r="U276" s="10">
        <v>2020</v>
      </c>
      <c r="V276" s="10">
        <v>11</v>
      </c>
      <c r="W276" s="10">
        <v>280.61963652135501</v>
      </c>
      <c r="AC276" s="10">
        <v>2020</v>
      </c>
      <c r="AD276" s="10">
        <v>11</v>
      </c>
      <c r="AE276" s="10">
        <v>280.59300679691199</v>
      </c>
      <c r="AG276" s="10">
        <v>2020</v>
      </c>
      <c r="AH276" s="10">
        <v>11</v>
      </c>
      <c r="AI276" s="10">
        <v>280.62518803090802</v>
      </c>
      <c r="AK276" s="10">
        <v>2020</v>
      </c>
      <c r="AL276" s="10">
        <v>11</v>
      </c>
      <c r="AM276" s="10">
        <v>280.68199204333501</v>
      </c>
      <c r="AO276" s="10">
        <v>2020</v>
      </c>
      <c r="AP276" s="10">
        <v>11</v>
      </c>
      <c r="AQ276" s="10">
        <v>280.86682598563903</v>
      </c>
      <c r="AS276" s="10">
        <v>2020</v>
      </c>
      <c r="AT276" s="10">
        <v>11</v>
      </c>
      <c r="AU276" s="10">
        <v>280.66704573913501</v>
      </c>
      <c r="AW276" s="10">
        <v>2020</v>
      </c>
      <c r="AX276" s="10">
        <v>11</v>
      </c>
      <c r="AY276" s="10">
        <v>280.64471956652397</v>
      </c>
    </row>
    <row r="277" spans="5:51" x14ac:dyDescent="0.25">
      <c r="E277" s="10">
        <v>2020</v>
      </c>
      <c r="F277" s="10">
        <v>12</v>
      </c>
      <c r="G277" s="10">
        <v>255.8438251883</v>
      </c>
      <c r="I277" s="10">
        <v>2020</v>
      </c>
      <c r="J277" s="10">
        <v>12</v>
      </c>
      <c r="K277" s="10">
        <v>255.774178232248</v>
      </c>
      <c r="M277" s="10">
        <v>2020</v>
      </c>
      <c r="N277" s="10">
        <v>12</v>
      </c>
      <c r="O277" s="10">
        <v>255.88701385809401</v>
      </c>
      <c r="Q277" s="10">
        <v>2020</v>
      </c>
      <c r="R277" s="10">
        <v>12</v>
      </c>
      <c r="S277" s="10">
        <v>255.37502307286499</v>
      </c>
      <c r="U277" s="10">
        <v>2020</v>
      </c>
      <c r="V277" s="10">
        <v>12</v>
      </c>
      <c r="W277" s="10">
        <v>255.493094952142</v>
      </c>
      <c r="AC277" s="10">
        <v>2020</v>
      </c>
      <c r="AD277" s="10">
        <v>12</v>
      </c>
      <c r="AE277" s="10">
        <v>255.50067409964899</v>
      </c>
      <c r="AG277" s="10">
        <v>2020</v>
      </c>
      <c r="AH277" s="10">
        <v>12</v>
      </c>
      <c r="AI277" s="10">
        <v>255.46214978270899</v>
      </c>
      <c r="AK277" s="10">
        <v>2020</v>
      </c>
      <c r="AL277" s="10">
        <v>12</v>
      </c>
      <c r="AM277" s="10">
        <v>255.50288186351</v>
      </c>
      <c r="AO277" s="10">
        <v>2020</v>
      </c>
      <c r="AP277" s="10">
        <v>12</v>
      </c>
      <c r="AQ277" s="10">
        <v>255.38278086332701</v>
      </c>
      <c r="AS277" s="10">
        <v>2020</v>
      </c>
      <c r="AT277" s="10">
        <v>12</v>
      </c>
      <c r="AU277" s="10">
        <v>255.568291276727</v>
      </c>
      <c r="AW277" s="10">
        <v>2020</v>
      </c>
      <c r="AX277" s="10">
        <v>12</v>
      </c>
      <c r="AY277" s="10">
        <v>255.54989148940601</v>
      </c>
    </row>
    <row r="278" spans="5:51" x14ac:dyDescent="0.25">
      <c r="E278" s="10">
        <v>2021</v>
      </c>
      <c r="F278" s="10">
        <v>1</v>
      </c>
      <c r="G278" s="10">
        <v>249.95439915314699</v>
      </c>
      <c r="I278" s="10">
        <v>2021</v>
      </c>
      <c r="J278" s="10">
        <v>1</v>
      </c>
      <c r="K278" s="10">
        <v>249.93227539399999</v>
      </c>
      <c r="M278" s="10">
        <v>2021</v>
      </c>
      <c r="N278" s="10">
        <v>1</v>
      </c>
      <c r="O278" s="10">
        <v>250.220928440855</v>
      </c>
      <c r="Q278" s="10">
        <v>2021</v>
      </c>
      <c r="R278" s="10">
        <v>1</v>
      </c>
      <c r="S278" s="10">
        <v>249.90613953239699</v>
      </c>
      <c r="U278" s="10">
        <v>2021</v>
      </c>
      <c r="V278" s="10">
        <v>1</v>
      </c>
      <c r="W278" s="10">
        <v>250.00295689025199</v>
      </c>
      <c r="AC278" s="10">
        <v>2021</v>
      </c>
      <c r="AD278" s="10">
        <v>1</v>
      </c>
      <c r="AE278" s="10">
        <v>250.01873882929101</v>
      </c>
      <c r="AG278" s="10">
        <v>2021</v>
      </c>
      <c r="AH278" s="10">
        <v>1</v>
      </c>
      <c r="AI278" s="10">
        <v>250.052246185163</v>
      </c>
      <c r="AK278" s="10">
        <v>2021</v>
      </c>
      <c r="AL278" s="10">
        <v>1</v>
      </c>
      <c r="AM278" s="10">
        <v>250.061450770264</v>
      </c>
      <c r="AO278" s="10">
        <v>2021</v>
      </c>
      <c r="AP278" s="10">
        <v>1</v>
      </c>
      <c r="AQ278" s="10">
        <v>250.18740595486699</v>
      </c>
      <c r="AS278" s="10">
        <v>2021</v>
      </c>
      <c r="AT278" s="10">
        <v>1</v>
      </c>
      <c r="AU278" s="10">
        <v>250.20224193038499</v>
      </c>
      <c r="AW278" s="10">
        <v>2021</v>
      </c>
      <c r="AX278" s="10">
        <v>1</v>
      </c>
      <c r="AY278" s="10">
        <v>250.17389910910799</v>
      </c>
    </row>
    <row r="279" spans="5:51" x14ac:dyDescent="0.25">
      <c r="E279" s="10">
        <v>2021</v>
      </c>
      <c r="F279" s="10">
        <v>2</v>
      </c>
      <c r="G279" s="10">
        <v>253.48206917007201</v>
      </c>
      <c r="I279" s="10">
        <v>2021</v>
      </c>
      <c r="J279" s="10">
        <v>2</v>
      </c>
      <c r="K279" s="10">
        <v>253.49853268215199</v>
      </c>
      <c r="M279" s="10">
        <v>2021</v>
      </c>
      <c r="N279" s="10">
        <v>2</v>
      </c>
      <c r="O279" s="10">
        <v>253.63499206372401</v>
      </c>
      <c r="Q279" s="10">
        <v>2021</v>
      </c>
      <c r="R279" s="10">
        <v>2</v>
      </c>
      <c r="S279" s="10">
        <v>253.760226871855</v>
      </c>
      <c r="U279" s="10">
        <v>2021</v>
      </c>
      <c r="V279" s="10">
        <v>2</v>
      </c>
      <c r="W279" s="10">
        <v>254.022412553441</v>
      </c>
      <c r="AC279" s="10">
        <v>2021</v>
      </c>
      <c r="AD279" s="10">
        <v>2</v>
      </c>
      <c r="AE279" s="10">
        <v>254.06282099413701</v>
      </c>
      <c r="AG279" s="10">
        <v>2021</v>
      </c>
      <c r="AH279" s="10">
        <v>2</v>
      </c>
      <c r="AI279" s="10">
        <v>254.169233975097</v>
      </c>
      <c r="AK279" s="10">
        <v>2021</v>
      </c>
      <c r="AL279" s="10">
        <v>2</v>
      </c>
      <c r="AM279" s="10">
        <v>254.22477824081301</v>
      </c>
      <c r="AO279" s="10">
        <v>2021</v>
      </c>
      <c r="AP279" s="10">
        <v>2</v>
      </c>
      <c r="AQ279" s="10">
        <v>254.10172327030699</v>
      </c>
      <c r="AS279" s="10">
        <v>2021</v>
      </c>
      <c r="AT279" s="10">
        <v>2</v>
      </c>
      <c r="AU279" s="10">
        <v>254.60210394606</v>
      </c>
      <c r="AW279" s="10">
        <v>2021</v>
      </c>
      <c r="AX279" s="10">
        <v>2</v>
      </c>
      <c r="AY279" s="10">
        <v>254.69025912894099</v>
      </c>
    </row>
    <row r="280" spans="5:51" x14ac:dyDescent="0.25">
      <c r="E280" s="10">
        <v>2021</v>
      </c>
      <c r="F280" s="10">
        <v>3</v>
      </c>
      <c r="G280" s="10">
        <v>255.871640081967</v>
      </c>
      <c r="I280" s="10">
        <v>2021</v>
      </c>
      <c r="J280" s="10">
        <v>3</v>
      </c>
      <c r="K280" s="10">
        <v>255.96210050604</v>
      </c>
      <c r="M280" s="10">
        <v>2021</v>
      </c>
      <c r="N280" s="10">
        <v>3</v>
      </c>
      <c r="O280" s="10">
        <v>256.16878703096302</v>
      </c>
      <c r="Q280" s="10">
        <v>2021</v>
      </c>
      <c r="R280" s="10">
        <v>3</v>
      </c>
      <c r="S280" s="10">
        <v>256.23812636225603</v>
      </c>
      <c r="U280" s="10">
        <v>2021</v>
      </c>
      <c r="V280" s="10">
        <v>3</v>
      </c>
      <c r="W280" s="10">
        <v>256.18985953331401</v>
      </c>
      <c r="AC280" s="10">
        <v>2021</v>
      </c>
      <c r="AD280" s="10">
        <v>3</v>
      </c>
      <c r="AE280" s="10">
        <v>256.23404292952</v>
      </c>
      <c r="AG280" s="10">
        <v>2021</v>
      </c>
      <c r="AH280" s="10">
        <v>3</v>
      </c>
      <c r="AI280" s="10">
        <v>256.30736457428401</v>
      </c>
      <c r="AK280" s="10">
        <v>2021</v>
      </c>
      <c r="AL280" s="10">
        <v>3</v>
      </c>
      <c r="AM280" s="10">
        <v>256.37528062374503</v>
      </c>
      <c r="AO280" s="10">
        <v>2021</v>
      </c>
      <c r="AP280" s="10">
        <v>3</v>
      </c>
      <c r="AQ280" s="10">
        <v>257.25189608927099</v>
      </c>
      <c r="AS280" s="10">
        <v>2021</v>
      </c>
      <c r="AT280" s="10">
        <v>3</v>
      </c>
      <c r="AU280" s="10">
        <v>256.47988048044101</v>
      </c>
      <c r="AW280" s="10">
        <v>2021</v>
      </c>
      <c r="AX280" s="10">
        <v>3</v>
      </c>
      <c r="AY280" s="10">
        <v>256.48911286002101</v>
      </c>
    </row>
    <row r="281" spans="5:51" x14ac:dyDescent="0.25">
      <c r="E281" s="10">
        <v>2021</v>
      </c>
      <c r="F281" s="10">
        <v>4</v>
      </c>
      <c r="G281" s="10">
        <v>255.45854112462899</v>
      </c>
      <c r="I281" s="10">
        <v>2021</v>
      </c>
      <c r="J281" s="10">
        <v>4</v>
      </c>
      <c r="K281" s="10">
        <v>255.57071849933101</v>
      </c>
      <c r="M281" s="10">
        <v>2021</v>
      </c>
      <c r="N281" s="10">
        <v>4</v>
      </c>
      <c r="O281" s="10">
        <v>255.70855573769401</v>
      </c>
      <c r="Q281" s="10">
        <v>2021</v>
      </c>
      <c r="R281" s="10">
        <v>4</v>
      </c>
      <c r="S281" s="10">
        <v>255.811560626453</v>
      </c>
      <c r="U281" s="10">
        <v>2021</v>
      </c>
      <c r="V281" s="10">
        <v>4</v>
      </c>
      <c r="W281" s="10">
        <v>255.53355335023301</v>
      </c>
      <c r="AC281" s="10">
        <v>2021</v>
      </c>
      <c r="AD281" s="10">
        <v>4</v>
      </c>
      <c r="AE281" s="10">
        <v>255.54859138921699</v>
      </c>
      <c r="AG281" s="10">
        <v>2021</v>
      </c>
      <c r="AH281" s="10">
        <v>4</v>
      </c>
      <c r="AI281" s="10">
        <v>255.63735831053</v>
      </c>
      <c r="AK281" s="10">
        <v>2021</v>
      </c>
      <c r="AL281" s="10">
        <v>4</v>
      </c>
      <c r="AM281" s="10">
        <v>255.724719401653</v>
      </c>
      <c r="AO281" s="10">
        <v>2021</v>
      </c>
      <c r="AP281" s="10">
        <v>4</v>
      </c>
      <c r="AQ281" s="10">
        <v>255.627285865538</v>
      </c>
      <c r="AS281" s="10">
        <v>2021</v>
      </c>
      <c r="AT281" s="10">
        <v>4</v>
      </c>
      <c r="AU281" s="10">
        <v>255.76171215709499</v>
      </c>
      <c r="AW281" s="10">
        <v>2021</v>
      </c>
      <c r="AX281" s="10">
        <v>4</v>
      </c>
      <c r="AY281" s="10">
        <v>255.77071394324599</v>
      </c>
    </row>
    <row r="282" spans="5:51" x14ac:dyDescent="0.25">
      <c r="E282" s="10">
        <v>2021</v>
      </c>
      <c r="F282" s="10">
        <v>5</v>
      </c>
      <c r="G282" s="10">
        <v>229.084714184798</v>
      </c>
      <c r="I282" s="10">
        <v>2021</v>
      </c>
      <c r="J282" s="10">
        <v>5</v>
      </c>
      <c r="K282" s="10">
        <v>229.16683699994201</v>
      </c>
      <c r="M282" s="10">
        <v>2021</v>
      </c>
      <c r="N282" s="10">
        <v>5</v>
      </c>
      <c r="O282" s="10">
        <v>229.29462199527899</v>
      </c>
      <c r="Q282" s="10">
        <v>2021</v>
      </c>
      <c r="R282" s="10">
        <v>5</v>
      </c>
      <c r="S282" s="10">
        <v>229.69408419127799</v>
      </c>
      <c r="U282" s="10">
        <v>2021</v>
      </c>
      <c r="V282" s="10">
        <v>5</v>
      </c>
      <c r="W282" s="10">
        <v>229.560879127276</v>
      </c>
      <c r="AC282" s="10">
        <v>2021</v>
      </c>
      <c r="AD282" s="10">
        <v>5</v>
      </c>
      <c r="AE282" s="10">
        <v>229.55217840450399</v>
      </c>
      <c r="AG282" s="10">
        <v>2021</v>
      </c>
      <c r="AH282" s="10">
        <v>5</v>
      </c>
      <c r="AI282" s="10">
        <v>229.730134373814</v>
      </c>
      <c r="AK282" s="10">
        <v>2021</v>
      </c>
      <c r="AL282" s="10">
        <v>5</v>
      </c>
      <c r="AM282" s="10">
        <v>229.639218531833</v>
      </c>
      <c r="AO282" s="10">
        <v>2021</v>
      </c>
      <c r="AP282" s="10">
        <v>5</v>
      </c>
      <c r="AQ282" s="10">
        <v>229.457178872996</v>
      </c>
      <c r="AS282" s="10">
        <v>2021</v>
      </c>
      <c r="AT282" s="10">
        <v>5</v>
      </c>
      <c r="AU282" s="10">
        <v>229.72726337060601</v>
      </c>
      <c r="AW282" s="10">
        <v>2021</v>
      </c>
      <c r="AX282" s="10">
        <v>5</v>
      </c>
      <c r="AY282" s="10">
        <v>229.75835483769001</v>
      </c>
    </row>
    <row r="283" spans="5:51" x14ac:dyDescent="0.25">
      <c r="E283" s="10">
        <v>2021</v>
      </c>
      <c r="F283" s="10">
        <v>6</v>
      </c>
      <c r="G283" s="10">
        <v>248.57421039304</v>
      </c>
      <c r="I283" s="10">
        <v>2021</v>
      </c>
      <c r="J283" s="10">
        <v>6</v>
      </c>
      <c r="K283" s="10">
        <v>248.27930657596201</v>
      </c>
      <c r="M283" s="10">
        <v>2021</v>
      </c>
      <c r="N283" s="10">
        <v>6</v>
      </c>
      <c r="O283" s="10">
        <v>248.192704604971</v>
      </c>
      <c r="Q283" s="10">
        <v>2021</v>
      </c>
      <c r="R283" s="10">
        <v>6</v>
      </c>
      <c r="S283" s="10">
        <v>247.88199623153699</v>
      </c>
      <c r="U283" s="10">
        <v>2021</v>
      </c>
      <c r="V283" s="10">
        <v>6</v>
      </c>
      <c r="W283" s="10">
        <v>247.78182886034699</v>
      </c>
      <c r="AC283" s="10">
        <v>2021</v>
      </c>
      <c r="AD283" s="10">
        <v>6</v>
      </c>
      <c r="AE283" s="10">
        <v>247.727587222517</v>
      </c>
      <c r="AG283" s="10">
        <v>2021</v>
      </c>
      <c r="AH283" s="10">
        <v>6</v>
      </c>
      <c r="AI283" s="10">
        <v>247.848384172339</v>
      </c>
      <c r="AK283" s="10">
        <v>2021</v>
      </c>
      <c r="AL283" s="10">
        <v>6</v>
      </c>
      <c r="AM283" s="10">
        <v>248.29177523334101</v>
      </c>
      <c r="AO283" s="10">
        <v>2021</v>
      </c>
      <c r="AP283" s="10">
        <v>6</v>
      </c>
      <c r="AQ283" s="10">
        <v>248.155134080577</v>
      </c>
      <c r="AS283" s="10">
        <v>2021</v>
      </c>
      <c r="AT283" s="10">
        <v>6</v>
      </c>
      <c r="AU283" s="10">
        <v>248.230084474341</v>
      </c>
      <c r="AW283" s="10">
        <v>2021</v>
      </c>
      <c r="AX283" s="10">
        <v>6</v>
      </c>
      <c r="AY283" s="10">
        <v>248.22268063984899</v>
      </c>
    </row>
    <row r="284" spans="5:51" x14ac:dyDescent="0.25">
      <c r="E284" s="10">
        <v>2021</v>
      </c>
      <c r="F284" s="10">
        <v>7</v>
      </c>
      <c r="G284" s="10">
        <v>242.79548654841901</v>
      </c>
      <c r="I284" s="10">
        <v>2021</v>
      </c>
      <c r="J284" s="10">
        <v>7</v>
      </c>
      <c r="K284" s="10">
        <v>243.035878275296</v>
      </c>
      <c r="M284" s="10">
        <v>2021</v>
      </c>
      <c r="N284" s="10">
        <v>7</v>
      </c>
      <c r="O284" s="10">
        <v>242.76593216917999</v>
      </c>
      <c r="Q284" s="10">
        <v>2021</v>
      </c>
      <c r="R284" s="10">
        <v>7</v>
      </c>
      <c r="S284" s="10">
        <v>242.88961278342899</v>
      </c>
      <c r="U284" s="10">
        <v>2021</v>
      </c>
      <c r="V284" s="10">
        <v>7</v>
      </c>
      <c r="W284" s="10">
        <v>242.771919913137</v>
      </c>
      <c r="AC284" s="10">
        <v>2021</v>
      </c>
      <c r="AD284" s="10">
        <v>7</v>
      </c>
      <c r="AE284" s="10">
        <v>242.74551240133701</v>
      </c>
      <c r="AG284" s="10">
        <v>2021</v>
      </c>
      <c r="AH284" s="10">
        <v>7</v>
      </c>
      <c r="AI284" s="10">
        <v>242.428913593007</v>
      </c>
      <c r="AK284" s="10">
        <v>2021</v>
      </c>
      <c r="AL284" s="10">
        <v>7</v>
      </c>
      <c r="AM284" s="10">
        <v>242.48419061293501</v>
      </c>
      <c r="AO284" s="10">
        <v>2021</v>
      </c>
      <c r="AP284" s="10">
        <v>7</v>
      </c>
      <c r="AQ284" s="10">
        <v>242.50410526951799</v>
      </c>
      <c r="AS284" s="10">
        <v>2021</v>
      </c>
      <c r="AT284" s="10">
        <v>7</v>
      </c>
      <c r="AU284" s="10">
        <v>242.33201575909601</v>
      </c>
      <c r="AW284" s="10">
        <v>2021</v>
      </c>
      <c r="AX284" s="10">
        <v>7</v>
      </c>
      <c r="AY284" s="10">
        <v>242.35855503660699</v>
      </c>
    </row>
    <row r="285" spans="5:51" x14ac:dyDescent="0.25">
      <c r="E285" s="10">
        <v>2021</v>
      </c>
      <c r="F285" s="10">
        <v>8</v>
      </c>
      <c r="G285" s="10">
        <v>254.41453632165499</v>
      </c>
      <c r="I285" s="10">
        <v>2021</v>
      </c>
      <c r="J285" s="10">
        <v>8</v>
      </c>
      <c r="K285" s="10">
        <v>254.99801801747901</v>
      </c>
      <c r="M285" s="10">
        <v>2021</v>
      </c>
      <c r="N285" s="10">
        <v>8</v>
      </c>
      <c r="O285" s="10">
        <v>254.02430140693701</v>
      </c>
      <c r="Q285" s="10">
        <v>2021</v>
      </c>
      <c r="R285" s="10">
        <v>8</v>
      </c>
      <c r="S285" s="10">
        <v>255.724731074141</v>
      </c>
      <c r="U285" s="10">
        <v>2021</v>
      </c>
      <c r="V285" s="10">
        <v>8</v>
      </c>
      <c r="W285" s="10">
        <v>255.90491897437099</v>
      </c>
      <c r="AC285" s="10">
        <v>2021</v>
      </c>
      <c r="AD285" s="10">
        <v>8</v>
      </c>
      <c r="AE285" s="10">
        <v>255.92148844339599</v>
      </c>
      <c r="AG285" s="10">
        <v>2021</v>
      </c>
      <c r="AH285" s="10">
        <v>8</v>
      </c>
      <c r="AI285" s="10">
        <v>255.734462218918</v>
      </c>
      <c r="AK285" s="10">
        <v>2021</v>
      </c>
      <c r="AL285" s="10">
        <v>8</v>
      </c>
      <c r="AM285" s="10">
        <v>254.53179524951301</v>
      </c>
      <c r="AO285" s="10">
        <v>2021</v>
      </c>
      <c r="AP285" s="10">
        <v>8</v>
      </c>
      <c r="AQ285" s="10">
        <v>253.890146472124</v>
      </c>
      <c r="AS285" s="10">
        <v>2021</v>
      </c>
      <c r="AT285" s="10">
        <v>8</v>
      </c>
      <c r="AU285" s="10">
        <v>254.39730980088601</v>
      </c>
      <c r="AW285" s="10">
        <v>2021</v>
      </c>
      <c r="AX285" s="10">
        <v>8</v>
      </c>
      <c r="AY285" s="10">
        <v>254.40539507188799</v>
      </c>
    </row>
    <row r="286" spans="5:51" x14ac:dyDescent="0.25">
      <c r="E286" s="10">
        <v>2021</v>
      </c>
      <c r="F286" s="10">
        <v>9</v>
      </c>
      <c r="G286" s="10">
        <v>245.707846792174</v>
      </c>
      <c r="I286" s="10">
        <v>2021</v>
      </c>
      <c r="J286" s="10">
        <v>9</v>
      </c>
      <c r="K286" s="10">
        <v>245.12107664960101</v>
      </c>
      <c r="M286" s="10">
        <v>2021</v>
      </c>
      <c r="N286" s="10">
        <v>9</v>
      </c>
      <c r="O286" s="10">
        <v>244.75491565073401</v>
      </c>
      <c r="Q286" s="10">
        <v>2021</v>
      </c>
      <c r="R286" s="10">
        <v>9</v>
      </c>
      <c r="S286" s="10">
        <v>244.776878580741</v>
      </c>
      <c r="U286" s="10">
        <v>2021</v>
      </c>
      <c r="V286" s="10">
        <v>9</v>
      </c>
      <c r="W286" s="10">
        <v>244.58586352387101</v>
      </c>
      <c r="AC286" s="10">
        <v>2021</v>
      </c>
      <c r="AD286" s="10">
        <v>9</v>
      </c>
      <c r="AE286" s="10">
        <v>244.55168531811799</v>
      </c>
      <c r="AG286" s="10">
        <v>2021</v>
      </c>
      <c r="AH286" s="10">
        <v>9</v>
      </c>
      <c r="AI286" s="10">
        <v>244.491797462319</v>
      </c>
      <c r="AK286" s="10">
        <v>2021</v>
      </c>
      <c r="AL286" s="10">
        <v>9</v>
      </c>
      <c r="AM286" s="10">
        <v>244.67167823268599</v>
      </c>
      <c r="AO286" s="10">
        <v>2021</v>
      </c>
      <c r="AP286" s="10">
        <v>9</v>
      </c>
      <c r="AQ286" s="10">
        <v>244.57336759500299</v>
      </c>
      <c r="AS286" s="10">
        <v>2021</v>
      </c>
      <c r="AT286" s="10">
        <v>9</v>
      </c>
      <c r="AU286" s="10">
        <v>244.40866353581399</v>
      </c>
      <c r="AW286" s="10">
        <v>2021</v>
      </c>
      <c r="AX286" s="10">
        <v>9</v>
      </c>
      <c r="AY286" s="10">
        <v>244.399317591298</v>
      </c>
    </row>
    <row r="287" spans="5:51" x14ac:dyDescent="0.25">
      <c r="E287" s="10">
        <v>2021</v>
      </c>
      <c r="F287" s="10">
        <v>10</v>
      </c>
      <c r="G287" s="10">
        <v>249.387927966896</v>
      </c>
      <c r="I287" s="10">
        <v>2021</v>
      </c>
      <c r="J287" s="10">
        <v>10</v>
      </c>
      <c r="K287" s="10">
        <v>249.18889548556999</v>
      </c>
      <c r="M287" s="10">
        <v>2021</v>
      </c>
      <c r="N287" s="10">
        <v>10</v>
      </c>
      <c r="O287" s="10">
        <v>248.79686724431801</v>
      </c>
      <c r="Q287" s="10">
        <v>2021</v>
      </c>
      <c r="R287" s="10">
        <v>10</v>
      </c>
      <c r="S287" s="10">
        <v>248.48725463664201</v>
      </c>
      <c r="U287" s="10">
        <v>2021</v>
      </c>
      <c r="V287" s="10">
        <v>10</v>
      </c>
      <c r="W287" s="10">
        <v>248.49990985725699</v>
      </c>
      <c r="AC287" s="10">
        <v>2021</v>
      </c>
      <c r="AD287" s="10">
        <v>10</v>
      </c>
      <c r="AE287" s="10">
        <v>248.469997447911</v>
      </c>
      <c r="AG287" s="10">
        <v>2021</v>
      </c>
      <c r="AH287" s="10">
        <v>10</v>
      </c>
      <c r="AI287" s="10">
        <v>248.42797592283799</v>
      </c>
      <c r="AK287" s="10">
        <v>2021</v>
      </c>
      <c r="AL287" s="10">
        <v>10</v>
      </c>
      <c r="AM287" s="10">
        <v>248.60675403587399</v>
      </c>
      <c r="AO287" s="10">
        <v>2021</v>
      </c>
      <c r="AP287" s="10">
        <v>10</v>
      </c>
      <c r="AQ287" s="10">
        <v>248.63083707404201</v>
      </c>
      <c r="AS287" s="10">
        <v>2021</v>
      </c>
      <c r="AT287" s="10">
        <v>10</v>
      </c>
      <c r="AU287" s="10">
        <v>248.40558845749999</v>
      </c>
      <c r="AW287" s="10">
        <v>2021</v>
      </c>
      <c r="AX287" s="10">
        <v>10</v>
      </c>
      <c r="AY287" s="10">
        <v>248.37635443053301</v>
      </c>
    </row>
    <row r="288" spans="5:51" x14ac:dyDescent="0.25">
      <c r="E288" s="10">
        <v>2021</v>
      </c>
      <c r="F288" s="10">
        <v>11</v>
      </c>
      <c r="G288" s="10">
        <v>247.988603580822</v>
      </c>
      <c r="I288" s="10">
        <v>2021</v>
      </c>
      <c r="J288" s="10">
        <v>11</v>
      </c>
      <c r="K288" s="10">
        <v>247.88724479712801</v>
      </c>
      <c r="M288" s="10">
        <v>2021</v>
      </c>
      <c r="N288" s="10">
        <v>11</v>
      </c>
      <c r="O288" s="10">
        <v>248.848877878862</v>
      </c>
      <c r="Q288" s="10">
        <v>2021</v>
      </c>
      <c r="R288" s="10">
        <v>11</v>
      </c>
      <c r="S288" s="10">
        <v>248.195312979221</v>
      </c>
      <c r="U288" s="10">
        <v>2021</v>
      </c>
      <c r="V288" s="10">
        <v>11</v>
      </c>
      <c r="W288" s="10">
        <v>248.18354107777799</v>
      </c>
      <c r="AC288" s="10">
        <v>2021</v>
      </c>
      <c r="AD288" s="10">
        <v>11</v>
      </c>
      <c r="AE288" s="10">
        <v>248.132244671667</v>
      </c>
      <c r="AG288" s="10">
        <v>2021</v>
      </c>
      <c r="AH288" s="10">
        <v>11</v>
      </c>
      <c r="AI288" s="10">
        <v>248.112946126178</v>
      </c>
      <c r="AK288" s="10">
        <v>2021</v>
      </c>
      <c r="AL288" s="10">
        <v>11</v>
      </c>
      <c r="AM288" s="10">
        <v>248.27649224689199</v>
      </c>
      <c r="AO288" s="10">
        <v>2021</v>
      </c>
      <c r="AP288" s="10">
        <v>11</v>
      </c>
      <c r="AQ288" s="10">
        <v>248.57438034984301</v>
      </c>
      <c r="AS288" s="10">
        <v>2021</v>
      </c>
      <c r="AT288" s="10">
        <v>11</v>
      </c>
      <c r="AU288" s="10">
        <v>248.20792199987201</v>
      </c>
      <c r="AW288" s="10">
        <v>2021</v>
      </c>
      <c r="AX288" s="10">
        <v>11</v>
      </c>
      <c r="AY288" s="10">
        <v>248.15496218153899</v>
      </c>
    </row>
    <row r="289" spans="5:51" x14ac:dyDescent="0.25">
      <c r="E289" s="10">
        <v>2021</v>
      </c>
      <c r="F289" s="10">
        <v>12</v>
      </c>
      <c r="G289" s="10">
        <v>249.72919027275299</v>
      </c>
      <c r="I289" s="10">
        <v>2021</v>
      </c>
      <c r="J289" s="10">
        <v>12</v>
      </c>
      <c r="K289" s="10">
        <v>249.625333146608</v>
      </c>
      <c r="M289" s="10">
        <v>2021</v>
      </c>
      <c r="N289" s="10">
        <v>12</v>
      </c>
      <c r="O289" s="10">
        <v>249.90395618687799</v>
      </c>
      <c r="Q289" s="10">
        <v>2021</v>
      </c>
      <c r="R289" s="10">
        <v>12</v>
      </c>
      <c r="S289" s="10">
        <v>248.079883744667</v>
      </c>
      <c r="U289" s="10">
        <v>2021</v>
      </c>
      <c r="V289" s="10">
        <v>12</v>
      </c>
      <c r="W289" s="10">
        <v>248.40990594666499</v>
      </c>
      <c r="AC289" s="10">
        <v>2021</v>
      </c>
      <c r="AD289" s="10">
        <v>12</v>
      </c>
      <c r="AE289" s="10">
        <v>248.42621536547799</v>
      </c>
      <c r="AG289" s="10">
        <v>2021</v>
      </c>
      <c r="AH289" s="10">
        <v>12</v>
      </c>
      <c r="AI289" s="10">
        <v>248.345222580772</v>
      </c>
      <c r="AK289" s="10">
        <v>2021</v>
      </c>
      <c r="AL289" s="10">
        <v>12</v>
      </c>
      <c r="AM289" s="10">
        <v>248.42271772197199</v>
      </c>
      <c r="AO289" s="10">
        <v>2021</v>
      </c>
      <c r="AP289" s="10">
        <v>12</v>
      </c>
      <c r="AQ289" s="10">
        <v>248.327363776814</v>
      </c>
      <c r="AS289" s="10">
        <v>2021</v>
      </c>
      <c r="AT289" s="10">
        <v>12</v>
      </c>
      <c r="AU289" s="10">
        <v>248.57383859567801</v>
      </c>
      <c r="AW289" s="10">
        <v>2021</v>
      </c>
      <c r="AX289" s="10">
        <v>12</v>
      </c>
      <c r="AY289" s="10">
        <v>248.531049168246</v>
      </c>
    </row>
    <row r="290" spans="5:51" x14ac:dyDescent="0.25">
      <c r="E290" s="10">
        <v>2022</v>
      </c>
      <c r="F290" s="10">
        <v>1</v>
      </c>
      <c r="G290" s="10">
        <v>244.07628080889501</v>
      </c>
      <c r="I290" s="10">
        <v>2022</v>
      </c>
      <c r="J290" s="10">
        <v>1</v>
      </c>
      <c r="K290" s="10">
        <v>244.16120020174299</v>
      </c>
      <c r="M290" s="10">
        <v>2022</v>
      </c>
      <c r="N290" s="10">
        <v>1</v>
      </c>
      <c r="O290" s="10">
        <v>244.49706897885699</v>
      </c>
      <c r="Q290" s="10">
        <v>2022</v>
      </c>
      <c r="R290" s="10">
        <v>1</v>
      </c>
      <c r="S290" s="10">
        <v>244.04247745200999</v>
      </c>
      <c r="U290" s="10">
        <v>2022</v>
      </c>
      <c r="V290" s="10">
        <v>1</v>
      </c>
      <c r="W290" s="10">
        <v>244.29662956659001</v>
      </c>
      <c r="AC290" s="10">
        <v>2022</v>
      </c>
      <c r="AD290" s="10">
        <v>1</v>
      </c>
      <c r="AE290" s="10">
        <v>244.37783563488901</v>
      </c>
      <c r="AG290" s="10">
        <v>2022</v>
      </c>
      <c r="AH290" s="10">
        <v>1</v>
      </c>
      <c r="AI290" s="10">
        <v>244.37763135552501</v>
      </c>
      <c r="AK290" s="10">
        <v>2022</v>
      </c>
      <c r="AL290" s="10">
        <v>1</v>
      </c>
      <c r="AM290" s="10">
        <v>244.466702091363</v>
      </c>
      <c r="AO290" s="10">
        <v>2022</v>
      </c>
      <c r="AP290" s="10">
        <v>1</v>
      </c>
      <c r="AQ290" s="10">
        <v>244.78028826444401</v>
      </c>
      <c r="AS290" s="10">
        <v>2022</v>
      </c>
      <c r="AT290" s="10">
        <v>1</v>
      </c>
      <c r="AU290" s="10">
        <v>244.75311716978001</v>
      </c>
      <c r="AW290" s="10">
        <v>2022</v>
      </c>
      <c r="AX290" s="10">
        <v>1</v>
      </c>
      <c r="AY290" s="10">
        <v>244.692083158451</v>
      </c>
    </row>
    <row r="291" spans="5:51" x14ac:dyDescent="0.25">
      <c r="E291" s="10">
        <v>2022</v>
      </c>
      <c r="F291" s="10">
        <v>2</v>
      </c>
      <c r="G291" s="10">
        <v>260.33254764370298</v>
      </c>
      <c r="I291" s="10">
        <v>2022</v>
      </c>
      <c r="J291" s="10">
        <v>2</v>
      </c>
      <c r="K291" s="10">
        <v>260.35185577936397</v>
      </c>
      <c r="M291" s="10">
        <v>2022</v>
      </c>
      <c r="N291" s="10">
        <v>2</v>
      </c>
      <c r="O291" s="10">
        <v>260.56911384078001</v>
      </c>
      <c r="Q291" s="10">
        <v>2022</v>
      </c>
      <c r="R291" s="10">
        <v>2</v>
      </c>
      <c r="S291" s="10">
        <v>260.62182686384602</v>
      </c>
      <c r="U291" s="10">
        <v>2022</v>
      </c>
      <c r="V291" s="10">
        <v>2</v>
      </c>
      <c r="W291" s="10">
        <v>261.41873143716498</v>
      </c>
      <c r="AC291" s="10">
        <v>2022</v>
      </c>
      <c r="AD291" s="10">
        <v>2</v>
      </c>
      <c r="AE291" s="10">
        <v>261.56793550971997</v>
      </c>
      <c r="AG291" s="10">
        <v>2022</v>
      </c>
      <c r="AH291" s="10">
        <v>2</v>
      </c>
      <c r="AI291" s="10">
        <v>261.62583264790402</v>
      </c>
      <c r="AK291" s="10">
        <v>2022</v>
      </c>
      <c r="AL291" s="10">
        <v>2</v>
      </c>
      <c r="AM291" s="10">
        <v>261.73476110024399</v>
      </c>
      <c r="AO291" s="10">
        <v>2022</v>
      </c>
      <c r="AP291" s="10">
        <v>2</v>
      </c>
      <c r="AQ291" s="10">
        <v>261.71094537426899</v>
      </c>
      <c r="AS291" s="10">
        <v>2022</v>
      </c>
      <c r="AT291" s="10">
        <v>2</v>
      </c>
      <c r="AU291" s="10">
        <v>262.24874178295198</v>
      </c>
      <c r="AW291" s="10">
        <v>2022</v>
      </c>
      <c r="AX291" s="10">
        <v>2</v>
      </c>
      <c r="AY291" s="10">
        <v>262.36674881336398</v>
      </c>
    </row>
    <row r="292" spans="5:51" x14ac:dyDescent="0.25">
      <c r="E292" s="10">
        <v>2022</v>
      </c>
      <c r="F292" s="10">
        <v>3</v>
      </c>
      <c r="G292" s="10">
        <v>253.87519389100001</v>
      </c>
      <c r="I292" s="10">
        <v>2022</v>
      </c>
      <c r="J292" s="10">
        <v>3</v>
      </c>
      <c r="K292" s="10">
        <v>254.01255670812901</v>
      </c>
      <c r="M292" s="10">
        <v>2022</v>
      </c>
      <c r="N292" s="10">
        <v>3</v>
      </c>
      <c r="O292" s="10">
        <v>254.27254075520901</v>
      </c>
      <c r="Q292" s="10">
        <v>2022</v>
      </c>
      <c r="R292" s="10">
        <v>3</v>
      </c>
      <c r="S292" s="10">
        <v>255.12726983408501</v>
      </c>
      <c r="U292" s="10">
        <v>2022</v>
      </c>
      <c r="V292" s="10">
        <v>3</v>
      </c>
      <c r="W292" s="10">
        <v>255.009007257272</v>
      </c>
      <c r="AC292" s="10">
        <v>2022</v>
      </c>
      <c r="AD292" s="10">
        <v>3</v>
      </c>
      <c r="AE292" s="10">
        <v>254.81708317142599</v>
      </c>
      <c r="AG292" s="10">
        <v>2022</v>
      </c>
      <c r="AH292" s="10">
        <v>3</v>
      </c>
      <c r="AI292" s="10">
        <v>254.94533184931799</v>
      </c>
      <c r="AK292" s="10">
        <v>2022</v>
      </c>
      <c r="AL292" s="10">
        <v>3</v>
      </c>
      <c r="AM292" s="10">
        <v>254.9069530429</v>
      </c>
      <c r="AO292" s="10">
        <v>2022</v>
      </c>
      <c r="AP292" s="10">
        <v>3</v>
      </c>
      <c r="AQ292" s="10">
        <v>255.47644425424201</v>
      </c>
      <c r="AS292" s="10">
        <v>2022</v>
      </c>
      <c r="AT292" s="10">
        <v>3</v>
      </c>
      <c r="AU292" s="10">
        <v>254.98085300026</v>
      </c>
      <c r="AW292" s="10">
        <v>2022</v>
      </c>
      <c r="AX292" s="10">
        <v>3</v>
      </c>
      <c r="AY292" s="10">
        <v>254.98507115110399</v>
      </c>
    </row>
    <row r="293" spans="5:51" x14ac:dyDescent="0.25">
      <c r="E293" s="10">
        <v>2022</v>
      </c>
      <c r="F293" s="10">
        <v>4</v>
      </c>
      <c r="G293" s="10">
        <v>259.14519686192199</v>
      </c>
      <c r="I293" s="10">
        <v>2022</v>
      </c>
      <c r="J293" s="10">
        <v>4</v>
      </c>
      <c r="K293" s="10">
        <v>259.33623028092097</v>
      </c>
      <c r="M293" s="10">
        <v>2022</v>
      </c>
      <c r="N293" s="10">
        <v>4</v>
      </c>
      <c r="O293" s="10">
        <v>259.55915232769797</v>
      </c>
      <c r="Q293" s="10">
        <v>2022</v>
      </c>
      <c r="R293" s="10">
        <v>4</v>
      </c>
      <c r="S293" s="10">
        <v>259.94801017690202</v>
      </c>
      <c r="U293" s="10">
        <v>2022</v>
      </c>
      <c r="V293" s="10">
        <v>4</v>
      </c>
      <c r="W293" s="10">
        <v>259.12200314071202</v>
      </c>
      <c r="AC293" s="10">
        <v>2022</v>
      </c>
      <c r="AD293" s="10">
        <v>4</v>
      </c>
      <c r="AE293" s="10">
        <v>259.32557112862003</v>
      </c>
      <c r="AG293" s="10">
        <v>2022</v>
      </c>
      <c r="AH293" s="10">
        <v>4</v>
      </c>
      <c r="AI293" s="10">
        <v>259.53676811028498</v>
      </c>
      <c r="AK293" s="10">
        <v>2022</v>
      </c>
      <c r="AL293" s="10">
        <v>4</v>
      </c>
      <c r="AM293" s="10">
        <v>259.61758126496102</v>
      </c>
      <c r="AO293" s="10">
        <v>2022</v>
      </c>
      <c r="AP293" s="10">
        <v>4</v>
      </c>
      <c r="AQ293" s="10">
        <v>259.66571491838602</v>
      </c>
      <c r="AS293" s="10">
        <v>2022</v>
      </c>
      <c r="AT293" s="10">
        <v>4</v>
      </c>
      <c r="AU293" s="10">
        <v>259.79576200292797</v>
      </c>
      <c r="AW293" s="10">
        <v>2022</v>
      </c>
      <c r="AX293" s="10">
        <v>4</v>
      </c>
      <c r="AY293" s="10">
        <v>259.83005455874002</v>
      </c>
    </row>
    <row r="294" spans="5:51" x14ac:dyDescent="0.25">
      <c r="E294" s="10">
        <v>2022</v>
      </c>
      <c r="F294" s="10">
        <v>5</v>
      </c>
      <c r="G294" s="10">
        <v>268.87306071376702</v>
      </c>
      <c r="I294" s="10">
        <v>2022</v>
      </c>
      <c r="J294" s="10">
        <v>5</v>
      </c>
      <c r="K294" s="10">
        <v>269.03047589247598</v>
      </c>
      <c r="M294" s="10">
        <v>2022</v>
      </c>
      <c r="N294" s="10">
        <v>5</v>
      </c>
      <c r="O294" s="10">
        <v>269.12368563744599</v>
      </c>
      <c r="Q294" s="10">
        <v>2022</v>
      </c>
      <c r="R294" s="10">
        <v>5</v>
      </c>
      <c r="S294" s="10">
        <v>269.72963694574599</v>
      </c>
      <c r="U294" s="10">
        <v>2022</v>
      </c>
      <c r="V294" s="10">
        <v>5</v>
      </c>
      <c r="W294" s="10">
        <v>269.40517148044103</v>
      </c>
      <c r="AC294" s="10">
        <v>2022</v>
      </c>
      <c r="AD294" s="10">
        <v>5</v>
      </c>
      <c r="AE294" s="10">
        <v>269.49335174154697</v>
      </c>
      <c r="AG294" s="10">
        <v>2022</v>
      </c>
      <c r="AH294" s="10">
        <v>5</v>
      </c>
      <c r="AI294" s="10">
        <v>269.799794921184</v>
      </c>
      <c r="AK294" s="10">
        <v>2022</v>
      </c>
      <c r="AL294" s="10">
        <v>5</v>
      </c>
      <c r="AM294" s="10">
        <v>269.659871453324</v>
      </c>
      <c r="AO294" s="10">
        <v>2022</v>
      </c>
      <c r="AP294" s="10">
        <v>5</v>
      </c>
      <c r="AQ294" s="10">
        <v>269.55162307838702</v>
      </c>
      <c r="AS294" s="10">
        <v>2022</v>
      </c>
      <c r="AT294" s="10">
        <v>5</v>
      </c>
      <c r="AU294" s="10">
        <v>269.84679138345501</v>
      </c>
      <c r="AW294" s="10">
        <v>2022</v>
      </c>
      <c r="AX294" s="10">
        <v>5</v>
      </c>
      <c r="AY294" s="10">
        <v>269.90740877712199</v>
      </c>
    </row>
    <row r="295" spans="5:51" x14ac:dyDescent="0.25">
      <c r="E295" s="10">
        <v>2022</v>
      </c>
      <c r="F295" s="10">
        <v>6</v>
      </c>
      <c r="G295" s="10">
        <v>261.84018831741798</v>
      </c>
      <c r="I295" s="10">
        <v>2022</v>
      </c>
      <c r="J295" s="10">
        <v>6</v>
      </c>
      <c r="K295" s="10">
        <v>261.25090194696799</v>
      </c>
      <c r="M295" s="10">
        <v>2022</v>
      </c>
      <c r="N295" s="10">
        <v>6</v>
      </c>
      <c r="O295" s="10">
        <v>261.11705190809198</v>
      </c>
      <c r="Q295" s="10">
        <v>2022</v>
      </c>
      <c r="R295" s="10">
        <v>6</v>
      </c>
      <c r="S295" s="10">
        <v>260.508747066951</v>
      </c>
      <c r="U295" s="10">
        <v>2022</v>
      </c>
      <c r="V295" s="10">
        <v>6</v>
      </c>
      <c r="W295" s="10">
        <v>260.52042030442402</v>
      </c>
      <c r="AC295" s="10">
        <v>2022</v>
      </c>
      <c r="AD295" s="10">
        <v>6</v>
      </c>
      <c r="AE295" s="10">
        <v>260.29204888679197</v>
      </c>
      <c r="AG295" s="10">
        <v>2022</v>
      </c>
      <c r="AH295" s="10">
        <v>6</v>
      </c>
      <c r="AI295" s="10">
        <v>260.710985771011</v>
      </c>
      <c r="AK295" s="10">
        <v>2022</v>
      </c>
      <c r="AL295" s="10">
        <v>6</v>
      </c>
      <c r="AM295" s="10">
        <v>261.46224327068398</v>
      </c>
      <c r="AO295" s="10">
        <v>2022</v>
      </c>
      <c r="AP295" s="10">
        <v>6</v>
      </c>
      <c r="AQ295" s="10">
        <v>261.31390357327803</v>
      </c>
      <c r="AS295" s="10">
        <v>2022</v>
      </c>
      <c r="AT295" s="10">
        <v>6</v>
      </c>
      <c r="AU295" s="10">
        <v>261.462822660477</v>
      </c>
      <c r="AW295" s="10">
        <v>2022</v>
      </c>
      <c r="AX295" s="10">
        <v>6</v>
      </c>
      <c r="AY295" s="10">
        <v>261.45851010836702</v>
      </c>
    </row>
    <row r="296" spans="5:51" x14ac:dyDescent="0.25">
      <c r="E296" s="10">
        <v>2022</v>
      </c>
      <c r="F296" s="10">
        <v>7</v>
      </c>
      <c r="G296" s="10">
        <v>260.00912829585599</v>
      </c>
      <c r="I296" s="10">
        <v>2022</v>
      </c>
      <c r="J296" s="10">
        <v>7</v>
      </c>
      <c r="K296" s="10">
        <v>260.60912317772301</v>
      </c>
      <c r="M296" s="10">
        <v>2022</v>
      </c>
      <c r="N296" s="10">
        <v>7</v>
      </c>
      <c r="O296" s="10">
        <v>260.21018581223097</v>
      </c>
      <c r="Q296" s="10">
        <v>2022</v>
      </c>
      <c r="R296" s="10">
        <v>7</v>
      </c>
      <c r="S296" s="10">
        <v>260.71129475398402</v>
      </c>
      <c r="U296" s="10">
        <v>2022</v>
      </c>
      <c r="V296" s="10">
        <v>7</v>
      </c>
      <c r="W296" s="10">
        <v>260.354717766541</v>
      </c>
      <c r="AC296" s="10">
        <v>2022</v>
      </c>
      <c r="AD296" s="10">
        <v>7</v>
      </c>
      <c r="AE296" s="10">
        <v>260.30257585045399</v>
      </c>
      <c r="AG296" s="10">
        <v>2022</v>
      </c>
      <c r="AH296" s="10">
        <v>7</v>
      </c>
      <c r="AI296" s="10">
        <v>259.77017422437399</v>
      </c>
      <c r="AK296" s="10">
        <v>2022</v>
      </c>
      <c r="AL296" s="10">
        <v>7</v>
      </c>
      <c r="AM296" s="10">
        <v>259.608749240196</v>
      </c>
      <c r="AO296" s="10">
        <v>2022</v>
      </c>
      <c r="AP296" s="10">
        <v>7</v>
      </c>
      <c r="AQ296" s="10">
        <v>259.63245009441698</v>
      </c>
      <c r="AS296" s="10">
        <v>2022</v>
      </c>
      <c r="AT296" s="10">
        <v>7</v>
      </c>
      <c r="AU296" s="10">
        <v>259.44712322403899</v>
      </c>
      <c r="AW296" s="10">
        <v>2022</v>
      </c>
      <c r="AX296" s="10">
        <v>7</v>
      </c>
      <c r="AY296" s="10">
        <v>259.51349209032497</v>
      </c>
    </row>
    <row r="297" spans="5:51" x14ac:dyDescent="0.25">
      <c r="E297" s="10">
        <v>2022</v>
      </c>
      <c r="F297" s="10">
        <v>8</v>
      </c>
      <c r="G297" s="10">
        <v>269.13763099415701</v>
      </c>
      <c r="I297" s="10">
        <v>2022</v>
      </c>
      <c r="J297" s="10">
        <v>8</v>
      </c>
      <c r="K297" s="10">
        <v>270.13054197150598</v>
      </c>
      <c r="M297" s="10">
        <v>2022</v>
      </c>
      <c r="N297" s="10">
        <v>8</v>
      </c>
      <c r="O297" s="10">
        <v>268.850641682446</v>
      </c>
      <c r="Q297" s="10">
        <v>2022</v>
      </c>
      <c r="R297" s="10">
        <v>8</v>
      </c>
      <c r="S297" s="10">
        <v>271.12330311554501</v>
      </c>
      <c r="U297" s="10">
        <v>2022</v>
      </c>
      <c r="V297" s="10">
        <v>8</v>
      </c>
      <c r="W297" s="10">
        <v>271.37467050088799</v>
      </c>
      <c r="AC297" s="10">
        <v>2022</v>
      </c>
      <c r="AD297" s="10">
        <v>8</v>
      </c>
      <c r="AE297" s="10">
        <v>271.40861752416299</v>
      </c>
      <c r="AG297" s="10">
        <v>2022</v>
      </c>
      <c r="AH297" s="10">
        <v>8</v>
      </c>
      <c r="AI297" s="10">
        <v>271.06889489139297</v>
      </c>
      <c r="AK297" s="10">
        <v>2022</v>
      </c>
      <c r="AL297" s="10">
        <v>8</v>
      </c>
      <c r="AM297" s="10">
        <v>269.15884096790302</v>
      </c>
      <c r="AO297" s="10">
        <v>2022</v>
      </c>
      <c r="AP297" s="10">
        <v>8</v>
      </c>
      <c r="AQ297" s="10">
        <v>268.15112937637099</v>
      </c>
      <c r="AS297" s="10">
        <v>2022</v>
      </c>
      <c r="AT297" s="10">
        <v>8</v>
      </c>
      <c r="AU297" s="10">
        <v>268.89489925677998</v>
      </c>
      <c r="AW297" s="10">
        <v>2022</v>
      </c>
      <c r="AX297" s="10">
        <v>8</v>
      </c>
      <c r="AY297" s="10">
        <v>268.925076826132</v>
      </c>
    </row>
    <row r="298" spans="5:51" x14ac:dyDescent="0.25">
      <c r="E298" s="10">
        <v>2022</v>
      </c>
      <c r="F298" s="10">
        <v>9</v>
      </c>
      <c r="G298" s="10">
        <v>270.07261808577101</v>
      </c>
      <c r="I298" s="10">
        <v>2022</v>
      </c>
      <c r="J298" s="10">
        <v>9</v>
      </c>
      <c r="K298" s="10">
        <v>269.033705596277</v>
      </c>
      <c r="M298" s="10">
        <v>2022</v>
      </c>
      <c r="N298" s="10">
        <v>9</v>
      </c>
      <c r="O298" s="10">
        <v>268.41395160278103</v>
      </c>
      <c r="Q298" s="10">
        <v>2022</v>
      </c>
      <c r="R298" s="10">
        <v>9</v>
      </c>
      <c r="S298" s="10">
        <v>268.48662996756099</v>
      </c>
      <c r="U298" s="10">
        <v>2022</v>
      </c>
      <c r="V298" s="10">
        <v>9</v>
      </c>
      <c r="W298" s="10">
        <v>268.23830976307897</v>
      </c>
      <c r="AC298" s="10">
        <v>2022</v>
      </c>
      <c r="AD298" s="10">
        <v>9</v>
      </c>
      <c r="AE298" s="10">
        <v>268.182199278388</v>
      </c>
      <c r="AG298" s="10">
        <v>2022</v>
      </c>
      <c r="AH298" s="10">
        <v>9</v>
      </c>
      <c r="AI298" s="10">
        <v>268.06282259291498</v>
      </c>
      <c r="AK298" s="10">
        <v>2022</v>
      </c>
      <c r="AL298" s="10">
        <v>9</v>
      </c>
      <c r="AM298" s="10">
        <v>268.57142597939497</v>
      </c>
      <c r="AO298" s="10">
        <v>2022</v>
      </c>
      <c r="AP298" s="10">
        <v>9</v>
      </c>
      <c r="AQ298" s="10">
        <v>268.34020551265701</v>
      </c>
      <c r="AS298" s="10">
        <v>2022</v>
      </c>
      <c r="AT298" s="10">
        <v>9</v>
      </c>
      <c r="AU298" s="10">
        <v>267.98865772298899</v>
      </c>
      <c r="AW298" s="10">
        <v>2022</v>
      </c>
      <c r="AX298" s="10">
        <v>9</v>
      </c>
      <c r="AY298" s="10">
        <v>267.98444783731497</v>
      </c>
    </row>
    <row r="299" spans="5:51" x14ac:dyDescent="0.25">
      <c r="E299" s="10">
        <v>2022</v>
      </c>
      <c r="F299" s="10">
        <v>10</v>
      </c>
      <c r="G299" s="10">
        <v>261.69875330713597</v>
      </c>
      <c r="I299" s="10">
        <v>2022</v>
      </c>
      <c r="J299" s="10">
        <v>10</v>
      </c>
      <c r="K299" s="10">
        <v>261.12313130237999</v>
      </c>
      <c r="M299" s="10">
        <v>2022</v>
      </c>
      <c r="N299" s="10">
        <v>10</v>
      </c>
      <c r="O299" s="10">
        <v>260.40407793912198</v>
      </c>
      <c r="Q299" s="10">
        <v>2022</v>
      </c>
      <c r="R299" s="10">
        <v>10</v>
      </c>
      <c r="S299" s="10">
        <v>259.87602605647498</v>
      </c>
      <c r="U299" s="10">
        <v>2022</v>
      </c>
      <c r="V299" s="10">
        <v>10</v>
      </c>
      <c r="W299" s="10">
        <v>259.88049911562399</v>
      </c>
      <c r="AC299" s="10">
        <v>2022</v>
      </c>
      <c r="AD299" s="10">
        <v>10</v>
      </c>
      <c r="AE299" s="10">
        <v>259.83297554196002</v>
      </c>
      <c r="AG299" s="10">
        <v>2022</v>
      </c>
      <c r="AH299" s="10">
        <v>10</v>
      </c>
      <c r="AI299" s="10">
        <v>259.74403977446099</v>
      </c>
      <c r="AK299" s="10">
        <v>2022</v>
      </c>
      <c r="AL299" s="10">
        <v>10</v>
      </c>
      <c r="AM299" s="10">
        <v>260.19839474962998</v>
      </c>
      <c r="AO299" s="10">
        <v>2022</v>
      </c>
      <c r="AP299" s="10">
        <v>10</v>
      </c>
      <c r="AQ299" s="10">
        <v>260.01883163098302</v>
      </c>
      <c r="AS299" s="10">
        <v>2022</v>
      </c>
      <c r="AT299" s="10">
        <v>10</v>
      </c>
      <c r="AU299" s="10">
        <v>259.498352095494</v>
      </c>
      <c r="AW299" s="10">
        <v>2022</v>
      </c>
      <c r="AX299" s="10">
        <v>10</v>
      </c>
      <c r="AY299" s="10">
        <v>259.44861345457701</v>
      </c>
    </row>
    <row r="300" spans="5:51" x14ac:dyDescent="0.25">
      <c r="E300" s="10">
        <v>2022</v>
      </c>
      <c r="F300" s="10">
        <v>11</v>
      </c>
      <c r="G300" s="10">
        <v>269.44093378078998</v>
      </c>
      <c r="I300" s="10">
        <v>2022</v>
      </c>
      <c r="J300" s="10">
        <v>11</v>
      </c>
      <c r="K300" s="10">
        <v>269.33283838878401</v>
      </c>
      <c r="M300" s="10">
        <v>2022</v>
      </c>
      <c r="N300" s="10">
        <v>11</v>
      </c>
      <c r="O300" s="10">
        <v>270.99768182709198</v>
      </c>
      <c r="Q300" s="10">
        <v>2022</v>
      </c>
      <c r="R300" s="10">
        <v>11</v>
      </c>
      <c r="S300" s="10">
        <v>269.98829928658</v>
      </c>
      <c r="U300" s="10">
        <v>2022</v>
      </c>
      <c r="V300" s="10">
        <v>11</v>
      </c>
      <c r="W300" s="10">
        <v>270.00034985401101</v>
      </c>
      <c r="AC300" s="10">
        <v>2022</v>
      </c>
      <c r="AD300" s="10">
        <v>11</v>
      </c>
      <c r="AE300" s="10">
        <v>269.93390157283397</v>
      </c>
      <c r="AG300" s="10">
        <v>2022</v>
      </c>
      <c r="AH300" s="10">
        <v>11</v>
      </c>
      <c r="AI300" s="10">
        <v>269.89452470362897</v>
      </c>
      <c r="AK300" s="10">
        <v>2022</v>
      </c>
      <c r="AL300" s="10">
        <v>11</v>
      </c>
      <c r="AM300" s="10">
        <v>270.12142430672202</v>
      </c>
      <c r="AO300" s="10">
        <v>2022</v>
      </c>
      <c r="AP300" s="10">
        <v>11</v>
      </c>
      <c r="AQ300" s="10">
        <v>270.912037126678</v>
      </c>
      <c r="AS300" s="10">
        <v>2022</v>
      </c>
      <c r="AT300" s="10">
        <v>11</v>
      </c>
      <c r="AU300" s="10">
        <v>270.09296343486102</v>
      </c>
      <c r="AW300" s="10">
        <v>2022</v>
      </c>
      <c r="AX300" s="10">
        <v>11</v>
      </c>
      <c r="AY300" s="10">
        <v>269.986525289312</v>
      </c>
    </row>
    <row r="301" spans="5:51" x14ac:dyDescent="0.25">
      <c r="E301" s="10">
        <v>2022</v>
      </c>
      <c r="F301" s="10">
        <v>12</v>
      </c>
      <c r="G301" s="10">
        <v>281.12730255288398</v>
      </c>
      <c r="I301" s="10">
        <v>2022</v>
      </c>
      <c r="J301" s="10">
        <v>12</v>
      </c>
      <c r="K301" s="10">
        <v>280.96642041676103</v>
      </c>
      <c r="M301" s="10">
        <v>2022</v>
      </c>
      <c r="N301" s="10">
        <v>12</v>
      </c>
      <c r="O301" s="10">
        <v>281.46333447378601</v>
      </c>
      <c r="Q301" s="10">
        <v>2022</v>
      </c>
      <c r="R301" s="10">
        <v>12</v>
      </c>
      <c r="S301" s="10">
        <v>278.45550357812402</v>
      </c>
      <c r="U301" s="10">
        <v>2022</v>
      </c>
      <c r="V301" s="10">
        <v>12</v>
      </c>
      <c r="W301" s="10">
        <v>279.07377040997102</v>
      </c>
      <c r="AC301" s="10">
        <v>2022</v>
      </c>
      <c r="AD301" s="10">
        <v>12</v>
      </c>
      <c r="AE301" s="10">
        <v>279.115109537107</v>
      </c>
      <c r="AG301" s="10">
        <v>2022</v>
      </c>
      <c r="AH301" s="10">
        <v>12</v>
      </c>
      <c r="AI301" s="10">
        <v>279.00457900307902</v>
      </c>
      <c r="AK301" s="10">
        <v>2022</v>
      </c>
      <c r="AL301" s="10">
        <v>12</v>
      </c>
      <c r="AM301" s="10">
        <v>279.07183069507198</v>
      </c>
      <c r="AO301" s="10">
        <v>2022</v>
      </c>
      <c r="AP301" s="10">
        <v>12</v>
      </c>
      <c r="AQ301" s="10">
        <v>279.07787686714801</v>
      </c>
      <c r="AS301" s="10">
        <v>2022</v>
      </c>
      <c r="AT301" s="10">
        <v>12</v>
      </c>
      <c r="AU301" s="10">
        <v>279.36488440906601</v>
      </c>
      <c r="AW301" s="10">
        <v>2022</v>
      </c>
      <c r="AX301" s="10">
        <v>12</v>
      </c>
      <c r="AY301" s="10">
        <v>279.23597264764999</v>
      </c>
    </row>
    <row r="302" spans="5:51" x14ac:dyDescent="0.25">
      <c r="E302" s="10">
        <v>2023</v>
      </c>
      <c r="F302" s="10">
        <v>1</v>
      </c>
      <c r="G302" s="10">
        <v>283.77631269624902</v>
      </c>
      <c r="I302" s="10">
        <v>2023</v>
      </c>
      <c r="J302" s="10">
        <v>1</v>
      </c>
      <c r="K302" s="10">
        <v>284.02097838148302</v>
      </c>
      <c r="M302" s="10">
        <v>2023</v>
      </c>
      <c r="N302" s="10">
        <v>1</v>
      </c>
      <c r="O302" s="10">
        <v>284.31137115539201</v>
      </c>
      <c r="Q302" s="10">
        <v>2023</v>
      </c>
      <c r="R302" s="10">
        <v>1</v>
      </c>
      <c r="S302" s="10">
        <v>283.51302014013299</v>
      </c>
      <c r="U302" s="10">
        <v>2023</v>
      </c>
      <c r="V302" s="10">
        <v>1</v>
      </c>
      <c r="W302" s="10">
        <v>283.925739400775</v>
      </c>
      <c r="AC302" s="10">
        <v>2023</v>
      </c>
      <c r="AD302" s="10">
        <v>1</v>
      </c>
      <c r="AE302" s="10">
        <v>284.09123029620099</v>
      </c>
      <c r="AG302" s="10">
        <v>2023</v>
      </c>
      <c r="AH302" s="10">
        <v>1</v>
      </c>
      <c r="AI302" s="10">
        <v>284.03900508755601</v>
      </c>
      <c r="AK302" s="10">
        <v>2023</v>
      </c>
      <c r="AL302" s="10">
        <v>1</v>
      </c>
      <c r="AM302" s="10">
        <v>284.22946335727897</v>
      </c>
      <c r="AO302" s="10">
        <v>2023</v>
      </c>
      <c r="AP302" s="10">
        <v>1</v>
      </c>
      <c r="AQ302" s="10">
        <v>284.68071312132298</v>
      </c>
      <c r="AS302" s="10">
        <v>2023</v>
      </c>
      <c r="AT302" s="10">
        <v>1</v>
      </c>
      <c r="AU302" s="10">
        <v>284.92825572230697</v>
      </c>
      <c r="AW302" s="10">
        <v>2023</v>
      </c>
      <c r="AX302" s="10">
        <v>1</v>
      </c>
      <c r="AY302" s="10">
        <v>284.72135557503799</v>
      </c>
    </row>
    <row r="303" spans="5:51" x14ac:dyDescent="0.25">
      <c r="E303" s="10">
        <v>2023</v>
      </c>
      <c r="F303" s="10">
        <v>2</v>
      </c>
      <c r="G303" s="10">
        <v>262.74409170614803</v>
      </c>
      <c r="I303" s="10">
        <v>2023</v>
      </c>
      <c r="J303" s="10">
        <v>2</v>
      </c>
      <c r="K303" s="10">
        <v>262.770995984536</v>
      </c>
      <c r="M303" s="10">
        <v>2023</v>
      </c>
      <c r="N303" s="10">
        <v>2</v>
      </c>
      <c r="O303" s="10">
        <v>263.06690832933998</v>
      </c>
      <c r="Q303" s="10">
        <v>2023</v>
      </c>
      <c r="R303" s="10">
        <v>2</v>
      </c>
      <c r="S303" s="10">
        <v>263.17848908365499</v>
      </c>
      <c r="U303" s="10">
        <v>2023</v>
      </c>
      <c r="V303" s="10">
        <v>2</v>
      </c>
      <c r="W303" s="10">
        <v>264.41816280421</v>
      </c>
      <c r="AC303" s="10">
        <v>2023</v>
      </c>
      <c r="AD303" s="10">
        <v>2</v>
      </c>
      <c r="AE303" s="10">
        <v>264.65837694784199</v>
      </c>
      <c r="AG303" s="10">
        <v>2023</v>
      </c>
      <c r="AH303" s="10">
        <v>2</v>
      </c>
      <c r="AI303" s="10">
        <v>264.702427380801</v>
      </c>
      <c r="AK303" s="10">
        <v>2023</v>
      </c>
      <c r="AL303" s="10">
        <v>2</v>
      </c>
      <c r="AM303" s="10">
        <v>264.85049484412201</v>
      </c>
      <c r="AO303" s="10">
        <v>2023</v>
      </c>
      <c r="AP303" s="10">
        <v>2</v>
      </c>
      <c r="AQ303" s="10">
        <v>264.95541946577299</v>
      </c>
      <c r="AS303" s="10">
        <v>2023</v>
      </c>
      <c r="AT303" s="10">
        <v>2</v>
      </c>
      <c r="AU303" s="10">
        <v>265.51566446091198</v>
      </c>
      <c r="AW303" s="10">
        <v>2023</v>
      </c>
      <c r="AX303" s="10">
        <v>2</v>
      </c>
      <c r="AY303" s="10">
        <v>265.81237838511601</v>
      </c>
    </row>
    <row r="304" spans="5:51" x14ac:dyDescent="0.25">
      <c r="E304" s="10">
        <v>2023</v>
      </c>
      <c r="F304" s="10">
        <v>3</v>
      </c>
      <c r="G304" s="10">
        <v>285.47617161991502</v>
      </c>
      <c r="I304" s="10">
        <v>2023</v>
      </c>
      <c r="J304" s="10">
        <v>3</v>
      </c>
      <c r="K304" s="10">
        <v>285.68397165386398</v>
      </c>
      <c r="M304" s="10">
        <v>2023</v>
      </c>
      <c r="N304" s="10">
        <v>3</v>
      </c>
      <c r="O304" s="10">
        <v>285.98020110330202</v>
      </c>
      <c r="Q304" s="10">
        <v>2023</v>
      </c>
      <c r="R304" s="10">
        <v>3</v>
      </c>
      <c r="S304" s="10">
        <v>287.73397049862501</v>
      </c>
      <c r="U304" s="10">
        <v>2023</v>
      </c>
      <c r="V304" s="10">
        <v>3</v>
      </c>
      <c r="W304" s="10">
        <v>287.61046694223103</v>
      </c>
      <c r="AC304" s="10">
        <v>2023</v>
      </c>
      <c r="AD304" s="10">
        <v>3</v>
      </c>
      <c r="AE304" s="10">
        <v>287.11715342886498</v>
      </c>
      <c r="AG304" s="10">
        <v>2023</v>
      </c>
      <c r="AH304" s="10">
        <v>3</v>
      </c>
      <c r="AI304" s="10">
        <v>287.30828812208301</v>
      </c>
      <c r="AK304" s="10">
        <v>2023</v>
      </c>
      <c r="AL304" s="10">
        <v>3</v>
      </c>
      <c r="AM304" s="10">
        <v>287.15303123768803</v>
      </c>
      <c r="AO304" s="10">
        <v>2023</v>
      </c>
      <c r="AP304" s="10">
        <v>3</v>
      </c>
      <c r="AQ304" s="10">
        <v>287.38417166495401</v>
      </c>
      <c r="AS304" s="10">
        <v>2023</v>
      </c>
      <c r="AT304" s="10">
        <v>3</v>
      </c>
      <c r="AU304" s="10">
        <v>287.21712931087802</v>
      </c>
      <c r="AW304" s="10">
        <v>2023</v>
      </c>
      <c r="AX304" s="10">
        <v>3</v>
      </c>
      <c r="AY304" s="10">
        <v>287.23517054016202</v>
      </c>
    </row>
    <row r="305" spans="5:51" x14ac:dyDescent="0.25">
      <c r="E305" s="10">
        <v>2023</v>
      </c>
      <c r="F305" s="10">
        <v>4</v>
      </c>
      <c r="G305" s="10">
        <v>289.35433607445498</v>
      </c>
      <c r="I305" s="10">
        <v>2023</v>
      </c>
      <c r="J305" s="10">
        <v>4</v>
      </c>
      <c r="K305" s="10">
        <v>289.65302953799699</v>
      </c>
      <c r="M305" s="10">
        <v>2023</v>
      </c>
      <c r="N305" s="10">
        <v>4</v>
      </c>
      <c r="O305" s="10">
        <v>289.95621563965102</v>
      </c>
      <c r="Q305" s="10">
        <v>2023</v>
      </c>
      <c r="R305" s="10">
        <v>4</v>
      </c>
      <c r="S305" s="10">
        <v>290.6363293718</v>
      </c>
      <c r="U305" s="10">
        <v>2023</v>
      </c>
      <c r="V305" s="10">
        <v>4</v>
      </c>
      <c r="W305" s="10">
        <v>289.17648151010002</v>
      </c>
      <c r="AC305" s="10">
        <v>2023</v>
      </c>
      <c r="AD305" s="10">
        <v>4</v>
      </c>
      <c r="AE305" s="10">
        <v>289.46872089167601</v>
      </c>
      <c r="AG305" s="10">
        <v>2023</v>
      </c>
      <c r="AH305" s="10">
        <v>4</v>
      </c>
      <c r="AI305" s="10">
        <v>289.80544578842301</v>
      </c>
      <c r="AK305" s="10">
        <v>2023</v>
      </c>
      <c r="AL305" s="10">
        <v>4</v>
      </c>
      <c r="AM305" s="10">
        <v>289.86545292947801</v>
      </c>
      <c r="AO305" s="10">
        <v>2023</v>
      </c>
      <c r="AP305" s="10">
        <v>4</v>
      </c>
      <c r="AQ305" s="10">
        <v>290.02597259937397</v>
      </c>
      <c r="AS305" s="10">
        <v>2023</v>
      </c>
      <c r="AT305" s="10">
        <v>4</v>
      </c>
      <c r="AU305" s="10">
        <v>290.16428188410401</v>
      </c>
      <c r="AW305" s="10">
        <v>2023</v>
      </c>
      <c r="AX305" s="10">
        <v>4</v>
      </c>
      <c r="AY305" s="10">
        <v>290.248402333483</v>
      </c>
    </row>
    <row r="306" spans="5:51" x14ac:dyDescent="0.25">
      <c r="E306" s="10">
        <v>2023</v>
      </c>
      <c r="F306" s="10">
        <v>5</v>
      </c>
      <c r="G306" s="10">
        <v>279.71003386567401</v>
      </c>
      <c r="I306" s="10">
        <v>2023</v>
      </c>
      <c r="J306" s="10">
        <v>5</v>
      </c>
      <c r="K306" s="10">
        <v>279.97684105860702</v>
      </c>
      <c r="M306" s="10">
        <v>2023</v>
      </c>
      <c r="N306" s="10">
        <v>5</v>
      </c>
      <c r="O306" s="10">
        <v>280.02503653868399</v>
      </c>
      <c r="Q306" s="10">
        <v>2023</v>
      </c>
      <c r="R306" s="10">
        <v>5</v>
      </c>
      <c r="S306" s="10">
        <v>280.82208228276698</v>
      </c>
      <c r="U306" s="10">
        <v>2023</v>
      </c>
      <c r="V306" s="10">
        <v>5</v>
      </c>
      <c r="W306" s="10">
        <v>280.30465431924</v>
      </c>
      <c r="AC306" s="10">
        <v>2023</v>
      </c>
      <c r="AD306" s="10">
        <v>5</v>
      </c>
      <c r="AE306" s="10">
        <v>280.62541058544201</v>
      </c>
      <c r="AG306" s="10">
        <v>2023</v>
      </c>
      <c r="AH306" s="10">
        <v>5</v>
      </c>
      <c r="AI306" s="10">
        <v>281.03586151128201</v>
      </c>
      <c r="AK306" s="10">
        <v>2023</v>
      </c>
      <c r="AL306" s="10">
        <v>5</v>
      </c>
      <c r="AM306" s="10">
        <v>280.84110592102098</v>
      </c>
      <c r="AO306" s="10">
        <v>2023</v>
      </c>
      <c r="AP306" s="10">
        <v>5</v>
      </c>
      <c r="AQ306" s="10">
        <v>280.83020639098203</v>
      </c>
      <c r="AS306" s="10">
        <v>2023</v>
      </c>
      <c r="AT306" s="10">
        <v>5</v>
      </c>
      <c r="AU306" s="10">
        <v>281.109151498107</v>
      </c>
      <c r="AW306" s="10">
        <v>2023</v>
      </c>
      <c r="AX306" s="10">
        <v>5</v>
      </c>
      <c r="AY306" s="10">
        <v>281.196163428825</v>
      </c>
    </row>
    <row r="307" spans="5:51" x14ac:dyDescent="0.25">
      <c r="E307" s="10">
        <v>2023</v>
      </c>
      <c r="F307" s="10">
        <v>6</v>
      </c>
      <c r="G307" s="10">
        <v>292.72368238275197</v>
      </c>
      <c r="I307" s="10">
        <v>2023</v>
      </c>
      <c r="J307" s="10">
        <v>6</v>
      </c>
      <c r="K307" s="10">
        <v>291.747809485559</v>
      </c>
      <c r="M307" s="10">
        <v>2023</v>
      </c>
      <c r="N307" s="10">
        <v>6</v>
      </c>
      <c r="O307" s="10">
        <v>291.54311665432601</v>
      </c>
      <c r="Q307" s="10">
        <v>2023</v>
      </c>
      <c r="R307" s="10">
        <v>6</v>
      </c>
      <c r="S307" s="10">
        <v>290.71879262103897</v>
      </c>
      <c r="U307" s="10">
        <v>2023</v>
      </c>
      <c r="V307" s="10">
        <v>6</v>
      </c>
      <c r="W307" s="10">
        <v>290.90175221752702</v>
      </c>
      <c r="AC307" s="10">
        <v>2023</v>
      </c>
      <c r="AD307" s="10">
        <v>6</v>
      </c>
      <c r="AE307" s="10">
        <v>290.57758187280098</v>
      </c>
      <c r="AG307" s="10">
        <v>2023</v>
      </c>
      <c r="AH307" s="10">
        <v>6</v>
      </c>
      <c r="AI307" s="10">
        <v>291.24968458926099</v>
      </c>
      <c r="AK307" s="10">
        <v>2023</v>
      </c>
      <c r="AL307" s="10">
        <v>6</v>
      </c>
      <c r="AM307" s="10">
        <v>292.27452198188001</v>
      </c>
      <c r="AO307" s="10">
        <v>2023</v>
      </c>
      <c r="AP307" s="10">
        <v>6</v>
      </c>
      <c r="AQ307" s="10">
        <v>292.01665780783901</v>
      </c>
      <c r="AS307" s="10">
        <v>2023</v>
      </c>
      <c r="AT307" s="10">
        <v>6</v>
      </c>
      <c r="AU307" s="10">
        <v>292.34211822280298</v>
      </c>
      <c r="AW307" s="10">
        <v>2023</v>
      </c>
      <c r="AX307" s="10">
        <v>6</v>
      </c>
      <c r="AY307" s="10">
        <v>292.340677146784</v>
      </c>
    </row>
    <row r="308" spans="5:51" x14ac:dyDescent="0.25">
      <c r="E308" s="10">
        <v>2023</v>
      </c>
      <c r="F308" s="10">
        <v>7</v>
      </c>
      <c r="G308" s="10">
        <v>287.030400856715</v>
      </c>
      <c r="I308" s="10">
        <v>2023</v>
      </c>
      <c r="J308" s="10">
        <v>7</v>
      </c>
      <c r="K308" s="10">
        <v>288.06567406778902</v>
      </c>
      <c r="M308" s="10">
        <v>2023</v>
      </c>
      <c r="N308" s="10">
        <v>7</v>
      </c>
      <c r="O308" s="10">
        <v>287.50222227916402</v>
      </c>
      <c r="Q308" s="10">
        <v>2023</v>
      </c>
      <c r="R308" s="10">
        <v>7</v>
      </c>
      <c r="S308" s="10">
        <v>288.38575812784899</v>
      </c>
      <c r="U308" s="10">
        <v>2023</v>
      </c>
      <c r="V308" s="10">
        <v>7</v>
      </c>
      <c r="W308" s="10">
        <v>287.81092240567602</v>
      </c>
      <c r="AC308" s="10">
        <v>2023</v>
      </c>
      <c r="AD308" s="10">
        <v>7</v>
      </c>
      <c r="AE308" s="10">
        <v>287.73728121039602</v>
      </c>
      <c r="AG308" s="10">
        <v>2023</v>
      </c>
      <c r="AH308" s="10">
        <v>7</v>
      </c>
      <c r="AI308" s="10">
        <v>286.97106200988202</v>
      </c>
      <c r="AK308" s="10">
        <v>2023</v>
      </c>
      <c r="AL308" s="10">
        <v>7</v>
      </c>
      <c r="AM308" s="10">
        <v>286.65167065554903</v>
      </c>
      <c r="AO308" s="10">
        <v>2023</v>
      </c>
      <c r="AP308" s="10">
        <v>7</v>
      </c>
      <c r="AQ308" s="10">
        <v>286.568624610619</v>
      </c>
      <c r="AS308" s="10">
        <v>2023</v>
      </c>
      <c r="AT308" s="10">
        <v>7</v>
      </c>
      <c r="AU308" s="10">
        <v>286.43922167157098</v>
      </c>
      <c r="AW308" s="10">
        <v>2023</v>
      </c>
      <c r="AX308" s="10">
        <v>7</v>
      </c>
      <c r="AY308" s="10">
        <v>286.53475483947602</v>
      </c>
    </row>
    <row r="309" spans="5:51" x14ac:dyDescent="0.25">
      <c r="E309" s="10">
        <v>2023</v>
      </c>
      <c r="F309" s="10">
        <v>8</v>
      </c>
      <c r="G309" s="10">
        <v>257.69207379160702</v>
      </c>
      <c r="I309" s="10">
        <v>2023</v>
      </c>
      <c r="J309" s="10">
        <v>8</v>
      </c>
      <c r="K309" s="10">
        <v>259.01577672543999</v>
      </c>
      <c r="M309" s="10">
        <v>2023</v>
      </c>
      <c r="N309" s="10">
        <v>8</v>
      </c>
      <c r="O309" s="10">
        <v>257.65378230660798</v>
      </c>
      <c r="Q309" s="10">
        <v>2023</v>
      </c>
      <c r="R309" s="10">
        <v>8</v>
      </c>
      <c r="S309" s="10">
        <v>260.148541640036</v>
      </c>
      <c r="U309" s="10">
        <v>2023</v>
      </c>
      <c r="V309" s="10">
        <v>8</v>
      </c>
      <c r="W309" s="10">
        <v>260.41612933442599</v>
      </c>
      <c r="AC309" s="10">
        <v>2023</v>
      </c>
      <c r="AD309" s="10">
        <v>8</v>
      </c>
      <c r="AE309" s="10">
        <v>260.43677404745603</v>
      </c>
      <c r="AG309" s="10">
        <v>2023</v>
      </c>
      <c r="AH309" s="10">
        <v>8</v>
      </c>
      <c r="AI309" s="10">
        <v>260.01400111066403</v>
      </c>
      <c r="AK309" s="10">
        <v>2023</v>
      </c>
      <c r="AL309" s="10">
        <v>8</v>
      </c>
      <c r="AM309" s="10">
        <v>257.76238703313498</v>
      </c>
      <c r="AO309" s="10">
        <v>2023</v>
      </c>
      <c r="AP309" s="10">
        <v>8</v>
      </c>
      <c r="AQ309" s="10">
        <v>256.67346562211901</v>
      </c>
      <c r="AS309" s="10">
        <v>2023</v>
      </c>
      <c r="AT309" s="10">
        <v>8</v>
      </c>
      <c r="AU309" s="10">
        <v>257.33852795221799</v>
      </c>
      <c r="AW309" s="10">
        <v>2023</v>
      </c>
      <c r="AX309" s="10">
        <v>8</v>
      </c>
      <c r="AY309" s="10">
        <v>257.38662116532998</v>
      </c>
    </row>
    <row r="310" spans="5:51" x14ac:dyDescent="0.25">
      <c r="E310" s="10">
        <v>2023</v>
      </c>
      <c r="F310" s="10">
        <v>9</v>
      </c>
      <c r="G310" s="10">
        <v>266.17812841175697</v>
      </c>
      <c r="I310" s="10">
        <v>2023</v>
      </c>
      <c r="J310" s="10">
        <v>9</v>
      </c>
      <c r="K310" s="10">
        <v>264.66366897078501</v>
      </c>
      <c r="M310" s="10">
        <v>2023</v>
      </c>
      <c r="N310" s="10">
        <v>9</v>
      </c>
      <c r="O310" s="10">
        <v>263.77012820077198</v>
      </c>
      <c r="Q310" s="10">
        <v>2023</v>
      </c>
      <c r="R310" s="10">
        <v>9</v>
      </c>
      <c r="S310" s="10">
        <v>264.075607111708</v>
      </c>
      <c r="U310" s="10">
        <v>2023</v>
      </c>
      <c r="V310" s="10">
        <v>9</v>
      </c>
      <c r="W310" s="10">
        <v>263.84285361524798</v>
      </c>
      <c r="AC310" s="10">
        <v>2023</v>
      </c>
      <c r="AD310" s="10">
        <v>9</v>
      </c>
      <c r="AE310" s="10">
        <v>263.75066386357798</v>
      </c>
      <c r="AG310" s="10">
        <v>2023</v>
      </c>
      <c r="AH310" s="10">
        <v>9</v>
      </c>
      <c r="AI310" s="10">
        <v>263.59970339847001</v>
      </c>
      <c r="AK310" s="10">
        <v>2023</v>
      </c>
      <c r="AL310" s="10">
        <v>9</v>
      </c>
      <c r="AM310" s="10">
        <v>264.33524741897702</v>
      </c>
      <c r="AO310" s="10">
        <v>2023</v>
      </c>
      <c r="AP310" s="10">
        <v>9</v>
      </c>
      <c r="AQ310" s="10">
        <v>264.047683373643</v>
      </c>
      <c r="AS310" s="10">
        <v>2023</v>
      </c>
      <c r="AT310" s="10">
        <v>9</v>
      </c>
      <c r="AU310" s="10">
        <v>263.48067968607899</v>
      </c>
      <c r="AW310" s="10">
        <v>2023</v>
      </c>
      <c r="AX310" s="10">
        <v>9</v>
      </c>
      <c r="AY310" s="10">
        <v>263.47458625061699</v>
      </c>
    </row>
    <row r="311" spans="5:51" x14ac:dyDescent="0.25">
      <c r="E311" s="10">
        <v>2023</v>
      </c>
      <c r="F311" s="10">
        <v>10</v>
      </c>
      <c r="G311" s="10">
        <v>257.69399246235002</v>
      </c>
      <c r="I311" s="10">
        <v>2023</v>
      </c>
      <c r="J311" s="10">
        <v>10</v>
      </c>
      <c r="K311" s="10">
        <v>256.87172170973002</v>
      </c>
      <c r="M311" s="10">
        <v>2023</v>
      </c>
      <c r="N311" s="10">
        <v>10</v>
      </c>
      <c r="O311" s="10">
        <v>255.692134890473</v>
      </c>
      <c r="Q311" s="10">
        <v>2023</v>
      </c>
      <c r="R311" s="10">
        <v>10</v>
      </c>
      <c r="S311" s="10">
        <v>255.01340851288899</v>
      </c>
      <c r="U311" s="10">
        <v>2023</v>
      </c>
      <c r="V311" s="10">
        <v>10</v>
      </c>
      <c r="W311" s="10">
        <v>254.94905390289</v>
      </c>
      <c r="AC311" s="10">
        <v>2023</v>
      </c>
      <c r="AD311" s="10">
        <v>10</v>
      </c>
      <c r="AE311" s="10">
        <v>254.871664921464</v>
      </c>
      <c r="AG311" s="10">
        <v>2023</v>
      </c>
      <c r="AH311" s="10">
        <v>10</v>
      </c>
      <c r="AI311" s="10">
        <v>254.71850997131</v>
      </c>
      <c r="AK311" s="10">
        <v>2023</v>
      </c>
      <c r="AL311" s="10">
        <v>10</v>
      </c>
      <c r="AM311" s="10">
        <v>255.01736552273701</v>
      </c>
      <c r="AO311" s="10">
        <v>2023</v>
      </c>
      <c r="AP311" s="10">
        <v>10</v>
      </c>
      <c r="AQ311" s="10">
        <v>254.67334008861499</v>
      </c>
      <c r="AS311" s="10">
        <v>2023</v>
      </c>
      <c r="AT311" s="10">
        <v>10</v>
      </c>
      <c r="AU311" s="10">
        <v>253.86696625438799</v>
      </c>
      <c r="AW311" s="10">
        <v>2023</v>
      </c>
      <c r="AX311" s="10">
        <v>10</v>
      </c>
      <c r="AY311" s="10">
        <v>253.78767984471</v>
      </c>
    </row>
    <row r="312" spans="5:51" x14ac:dyDescent="0.25">
      <c r="E312" s="10">
        <v>2023</v>
      </c>
      <c r="F312" s="10">
        <v>11</v>
      </c>
      <c r="G312" s="10">
        <v>280.00609222263199</v>
      </c>
      <c r="I312" s="10">
        <v>2023</v>
      </c>
      <c r="J312" s="10">
        <v>11</v>
      </c>
      <c r="K312" s="10">
        <v>279.90603009976797</v>
      </c>
      <c r="M312" s="10">
        <v>2023</v>
      </c>
      <c r="N312" s="10">
        <v>11</v>
      </c>
      <c r="O312" s="10">
        <v>282.33562366947399</v>
      </c>
      <c r="Q312" s="10">
        <v>2023</v>
      </c>
      <c r="R312" s="10">
        <v>11</v>
      </c>
      <c r="S312" s="10">
        <v>280.98824580711101</v>
      </c>
      <c r="U312" s="10">
        <v>2023</v>
      </c>
      <c r="V312" s="10">
        <v>11</v>
      </c>
      <c r="W312" s="10">
        <v>281.035336370886</v>
      </c>
      <c r="AC312" s="10">
        <v>2023</v>
      </c>
      <c r="AD312" s="10">
        <v>11</v>
      </c>
      <c r="AE312" s="10">
        <v>280.94544489845998</v>
      </c>
      <c r="AG312" s="10">
        <v>2023</v>
      </c>
      <c r="AH312" s="10">
        <v>11</v>
      </c>
      <c r="AI312" s="10">
        <v>280.87093197808503</v>
      </c>
      <c r="AK312" s="10">
        <v>2023</v>
      </c>
      <c r="AL312" s="10">
        <v>11</v>
      </c>
      <c r="AM312" s="10">
        <v>281.16344777619798</v>
      </c>
      <c r="AO312" s="10">
        <v>2023</v>
      </c>
      <c r="AP312" s="10">
        <v>11</v>
      </c>
      <c r="AQ312" s="10">
        <v>282.17326098943698</v>
      </c>
      <c r="AS312" s="10">
        <v>2023</v>
      </c>
      <c r="AT312" s="10">
        <v>11</v>
      </c>
      <c r="AU312" s="10">
        <v>280.87763821582502</v>
      </c>
      <c r="AW312" s="10">
        <v>2023</v>
      </c>
      <c r="AX312" s="10">
        <v>11</v>
      </c>
      <c r="AY312" s="10">
        <v>280.71259571579498</v>
      </c>
    </row>
    <row r="313" spans="5:51" x14ac:dyDescent="0.25">
      <c r="E313" s="10">
        <v>2023</v>
      </c>
      <c r="F313" s="10">
        <v>12</v>
      </c>
      <c r="G313" s="10">
        <v>253.864750324813</v>
      </c>
      <c r="I313" s="10">
        <v>2023</v>
      </c>
      <c r="J313" s="10">
        <v>12</v>
      </c>
      <c r="K313" s="10">
        <v>253.68519052358999</v>
      </c>
      <c r="M313" s="10">
        <v>2023</v>
      </c>
      <c r="N313" s="10">
        <v>12</v>
      </c>
      <c r="O313" s="10">
        <v>254.39175044515699</v>
      </c>
      <c r="Q313" s="10">
        <v>2023</v>
      </c>
      <c r="R313" s="10">
        <v>12</v>
      </c>
      <c r="S313" s="10">
        <v>250.18059377817301</v>
      </c>
      <c r="U313" s="10">
        <v>2023</v>
      </c>
      <c r="V313" s="10">
        <v>12</v>
      </c>
      <c r="W313" s="10">
        <v>250.98583923689901</v>
      </c>
      <c r="AC313" s="10">
        <v>2023</v>
      </c>
      <c r="AD313" s="10">
        <v>12</v>
      </c>
      <c r="AE313" s="10">
        <v>251.051400891529</v>
      </c>
      <c r="AG313" s="10">
        <v>2023</v>
      </c>
      <c r="AH313" s="10">
        <v>12</v>
      </c>
      <c r="AI313" s="10">
        <v>250.901925958079</v>
      </c>
      <c r="AK313" s="10">
        <v>2023</v>
      </c>
      <c r="AL313" s="10">
        <v>12</v>
      </c>
      <c r="AM313" s="10">
        <v>250.99303887230101</v>
      </c>
      <c r="AO313" s="10">
        <v>2023</v>
      </c>
      <c r="AP313" s="10">
        <v>12</v>
      </c>
      <c r="AQ313" s="10">
        <v>251.150283387092</v>
      </c>
      <c r="AS313" s="10">
        <v>2023</v>
      </c>
      <c r="AT313" s="10">
        <v>12</v>
      </c>
      <c r="AU313" s="10">
        <v>251.60232316045901</v>
      </c>
      <c r="AW313" s="10">
        <v>2023</v>
      </c>
      <c r="AX313" s="10">
        <v>12</v>
      </c>
      <c r="AY313" s="10">
        <v>251.36537742926799</v>
      </c>
    </row>
    <row r="314" spans="5:51" x14ac:dyDescent="0.25">
      <c r="E314" s="10">
        <v>2024</v>
      </c>
      <c r="F314" s="10">
        <v>1</v>
      </c>
      <c r="G314" s="10">
        <v>268.02995422075202</v>
      </c>
      <c r="I314" s="10">
        <v>2024</v>
      </c>
      <c r="J314" s="10">
        <v>1</v>
      </c>
      <c r="K314" s="10">
        <v>268.37471230326298</v>
      </c>
      <c r="M314" s="10">
        <v>2024</v>
      </c>
      <c r="N314" s="10">
        <v>1</v>
      </c>
      <c r="O314" s="10">
        <v>268.63043801973402</v>
      </c>
      <c r="Q314" s="10">
        <v>2024</v>
      </c>
      <c r="R314" s="10">
        <v>1</v>
      </c>
      <c r="S314" s="10">
        <v>267.38646580089801</v>
      </c>
      <c r="U314" s="10">
        <v>2024</v>
      </c>
      <c r="V314" s="10">
        <v>1</v>
      </c>
      <c r="W314" s="10">
        <v>268.00908330084201</v>
      </c>
      <c r="AC314" s="10">
        <v>2024</v>
      </c>
      <c r="AD314" s="10">
        <v>1</v>
      </c>
      <c r="AE314" s="10">
        <v>268.26253932684199</v>
      </c>
      <c r="AG314" s="10">
        <v>2024</v>
      </c>
      <c r="AH314" s="10">
        <v>1</v>
      </c>
      <c r="AI314" s="10">
        <v>268.16564990812498</v>
      </c>
      <c r="AK314" s="10">
        <v>2024</v>
      </c>
      <c r="AL314" s="10">
        <v>1</v>
      </c>
      <c r="AM314" s="10">
        <v>268.45762551097403</v>
      </c>
      <c r="AO314" s="10">
        <v>2024</v>
      </c>
      <c r="AP314" s="10">
        <v>1</v>
      </c>
      <c r="AQ314" s="10">
        <v>268.97170197466397</v>
      </c>
      <c r="AS314" s="10">
        <v>2024</v>
      </c>
      <c r="AT314" s="10">
        <v>1</v>
      </c>
      <c r="AU314" s="10">
        <v>269.66739536158002</v>
      </c>
      <c r="AW314" s="10">
        <v>2024</v>
      </c>
      <c r="AX314" s="10">
        <v>1</v>
      </c>
      <c r="AY314" s="10">
        <v>269.29543893943003</v>
      </c>
    </row>
    <row r="315" spans="5:51" x14ac:dyDescent="0.25">
      <c r="E315" s="10">
        <v>2024</v>
      </c>
      <c r="F315" s="10">
        <v>2</v>
      </c>
      <c r="G315" s="10">
        <v>258.02030506045401</v>
      </c>
      <c r="I315" s="10">
        <v>2024</v>
      </c>
      <c r="J315" s="10">
        <v>2</v>
      </c>
      <c r="K315" s="10">
        <v>258.075541954394</v>
      </c>
      <c r="M315" s="10">
        <v>2024</v>
      </c>
      <c r="N315" s="10">
        <v>2</v>
      </c>
      <c r="O315" s="10">
        <v>258.38326404107897</v>
      </c>
      <c r="Q315" s="10">
        <v>2024</v>
      </c>
      <c r="R315" s="10">
        <v>2</v>
      </c>
      <c r="S315" s="10">
        <v>258.68988900213901</v>
      </c>
      <c r="U315" s="10">
        <v>2024</v>
      </c>
      <c r="V315" s="10">
        <v>2</v>
      </c>
      <c r="W315" s="10">
        <v>260.25892325004298</v>
      </c>
      <c r="AC315" s="10">
        <v>2024</v>
      </c>
      <c r="AD315" s="10">
        <v>2</v>
      </c>
      <c r="AE315" s="10">
        <v>260.59492824513597</v>
      </c>
      <c r="AG315" s="10">
        <v>2024</v>
      </c>
      <c r="AH315" s="10">
        <v>2</v>
      </c>
      <c r="AI315" s="10">
        <v>260.60599074833499</v>
      </c>
      <c r="AK315" s="10">
        <v>2024</v>
      </c>
      <c r="AL315" s="10">
        <v>2</v>
      </c>
      <c r="AM315" s="10">
        <v>260.84382359140199</v>
      </c>
      <c r="AO315" s="10">
        <v>2024</v>
      </c>
      <c r="AP315" s="10">
        <v>2</v>
      </c>
      <c r="AQ315" s="10">
        <v>260.99751313221498</v>
      </c>
      <c r="AS315" s="10">
        <v>2024</v>
      </c>
      <c r="AT315" s="10">
        <v>2</v>
      </c>
      <c r="AU315" s="10">
        <v>260.72858258181998</v>
      </c>
      <c r="AW315" s="10">
        <v>2024</v>
      </c>
      <c r="AX315" s="10">
        <v>2</v>
      </c>
      <c r="AY315" s="10">
        <v>261.09921049466101</v>
      </c>
    </row>
    <row r="316" spans="5:51" x14ac:dyDescent="0.25">
      <c r="E316" s="10">
        <v>2024</v>
      </c>
      <c r="F316" s="10">
        <v>3</v>
      </c>
      <c r="G316" s="10">
        <v>255.02552527634799</v>
      </c>
      <c r="I316" s="10">
        <v>2024</v>
      </c>
      <c r="J316" s="10">
        <v>3</v>
      </c>
      <c r="K316" s="10">
        <v>255.21960749721401</v>
      </c>
      <c r="M316" s="10">
        <v>2024</v>
      </c>
      <c r="N316" s="10">
        <v>3</v>
      </c>
      <c r="O316" s="10">
        <v>255.59651096113299</v>
      </c>
      <c r="Q316" s="10">
        <v>2024</v>
      </c>
      <c r="R316" s="10">
        <v>3</v>
      </c>
      <c r="S316" s="10">
        <v>258.246947000511</v>
      </c>
      <c r="U316" s="10">
        <v>2024</v>
      </c>
      <c r="V316" s="10">
        <v>3</v>
      </c>
      <c r="W316" s="10">
        <v>257.87937568362503</v>
      </c>
      <c r="AC316" s="10">
        <v>2024</v>
      </c>
      <c r="AD316" s="10">
        <v>3</v>
      </c>
      <c r="AE316" s="10">
        <v>257.00717470574102</v>
      </c>
      <c r="AG316" s="10">
        <v>2024</v>
      </c>
      <c r="AH316" s="10">
        <v>3</v>
      </c>
      <c r="AI316" s="10">
        <v>257.33171949916402</v>
      </c>
      <c r="AK316" s="10">
        <v>2024</v>
      </c>
      <c r="AL316" s="10">
        <v>3</v>
      </c>
      <c r="AM316" s="10">
        <v>257.04174425102701</v>
      </c>
      <c r="AO316" s="10">
        <v>2024</v>
      </c>
      <c r="AP316" s="10">
        <v>3</v>
      </c>
      <c r="AQ316" s="10">
        <v>257.17692831198798</v>
      </c>
      <c r="AS316" s="10">
        <v>2024</v>
      </c>
      <c r="AT316" s="10">
        <v>3</v>
      </c>
      <c r="AU316" s="10">
        <v>257.10569235095102</v>
      </c>
      <c r="AW316" s="10">
        <v>2024</v>
      </c>
      <c r="AX316" s="10">
        <v>3</v>
      </c>
      <c r="AY316" s="10">
        <v>257.14383389549999</v>
      </c>
    </row>
    <row r="317" spans="5:51" x14ac:dyDescent="0.25">
      <c r="E317" s="10">
        <v>2024</v>
      </c>
      <c r="F317" s="10">
        <v>4</v>
      </c>
      <c r="G317" s="10">
        <v>245.79191316029801</v>
      </c>
      <c r="I317" s="10">
        <v>2024</v>
      </c>
      <c r="J317" s="10">
        <v>4</v>
      </c>
      <c r="K317" s="10">
        <v>246.128989423212</v>
      </c>
      <c r="M317" s="10">
        <v>2024</v>
      </c>
      <c r="N317" s="10">
        <v>4</v>
      </c>
      <c r="O317" s="10">
        <v>246.35544069111799</v>
      </c>
      <c r="Q317" s="10">
        <v>2024</v>
      </c>
      <c r="R317" s="10">
        <v>4</v>
      </c>
      <c r="S317" s="10">
        <v>247.40744804976899</v>
      </c>
      <c r="U317" s="10">
        <v>2024</v>
      </c>
      <c r="V317" s="10">
        <v>4</v>
      </c>
      <c r="W317" s="10">
        <v>245.40728425203</v>
      </c>
      <c r="AC317" s="10">
        <v>2024</v>
      </c>
      <c r="AD317" s="10">
        <v>4</v>
      </c>
      <c r="AE317" s="10">
        <v>245.79124862214101</v>
      </c>
      <c r="AG317" s="10">
        <v>2024</v>
      </c>
      <c r="AH317" s="10">
        <v>4</v>
      </c>
      <c r="AI317" s="10">
        <v>246.186168664391</v>
      </c>
      <c r="AK317" s="10">
        <v>2024</v>
      </c>
      <c r="AL317" s="10">
        <v>4</v>
      </c>
      <c r="AM317" s="10">
        <v>246.35436263386799</v>
      </c>
      <c r="AO317" s="10">
        <v>2024</v>
      </c>
      <c r="AP317" s="10">
        <v>4</v>
      </c>
      <c r="AQ317" s="10">
        <v>246.47190812414701</v>
      </c>
      <c r="AS317" s="10">
        <v>2024</v>
      </c>
      <c r="AT317" s="10">
        <v>4</v>
      </c>
      <c r="AU317" s="10">
        <v>246.720347982916</v>
      </c>
      <c r="AW317" s="10">
        <v>2024</v>
      </c>
      <c r="AX317" s="10">
        <v>4</v>
      </c>
      <c r="AY317" s="10">
        <v>246.84952572805699</v>
      </c>
    </row>
    <row r="318" spans="5:51" x14ac:dyDescent="0.25">
      <c r="E318" s="10">
        <v>2024</v>
      </c>
      <c r="F318" s="10">
        <v>5</v>
      </c>
      <c r="G318" s="10">
        <v>256.89170308351299</v>
      </c>
      <c r="I318" s="10">
        <v>2024</v>
      </c>
      <c r="J318" s="10">
        <v>5</v>
      </c>
      <c r="K318" s="10">
        <v>258.14691545542303</v>
      </c>
      <c r="M318" s="10">
        <v>2024</v>
      </c>
      <c r="N318" s="10">
        <v>5</v>
      </c>
      <c r="O318" s="10">
        <v>258.17405405118802</v>
      </c>
      <c r="Q318" s="10">
        <v>2024</v>
      </c>
      <c r="R318" s="10">
        <v>5</v>
      </c>
      <c r="S318" s="10">
        <v>259.13131378294401</v>
      </c>
      <c r="U318" s="10">
        <v>2024</v>
      </c>
      <c r="V318" s="10">
        <v>5</v>
      </c>
      <c r="W318" s="10">
        <v>258.51444474782102</v>
      </c>
      <c r="AC318" s="10">
        <v>2024</v>
      </c>
      <c r="AD318" s="10">
        <v>5</v>
      </c>
      <c r="AE318" s="10">
        <v>259.206314129048</v>
      </c>
      <c r="AG318" s="10">
        <v>2024</v>
      </c>
      <c r="AH318" s="10">
        <v>5</v>
      </c>
      <c r="AI318" s="10">
        <v>259.80884235409098</v>
      </c>
      <c r="AK318" s="10">
        <v>2024</v>
      </c>
      <c r="AL318" s="10">
        <v>5</v>
      </c>
      <c r="AM318" s="10">
        <v>259.62064413430801</v>
      </c>
      <c r="AO318" s="10">
        <v>2024</v>
      </c>
      <c r="AP318" s="10">
        <v>5</v>
      </c>
      <c r="AQ318" s="10">
        <v>259.71613338068101</v>
      </c>
      <c r="AS318" s="10">
        <v>2024</v>
      </c>
      <c r="AT318" s="10">
        <v>5</v>
      </c>
      <c r="AU318" s="10">
        <v>259.98502009040499</v>
      </c>
      <c r="AW318" s="10">
        <v>2024</v>
      </c>
      <c r="AX318" s="10">
        <v>5</v>
      </c>
      <c r="AY318" s="10">
        <v>260.09466538625901</v>
      </c>
    </row>
    <row r="319" spans="5:51" x14ac:dyDescent="0.25">
      <c r="E319" s="10">
        <v>2024</v>
      </c>
      <c r="F319" s="10">
        <v>6</v>
      </c>
      <c r="G319" s="10">
        <v>244.38002917951599</v>
      </c>
      <c r="I319" s="10">
        <v>2024</v>
      </c>
      <c r="J319" s="10">
        <v>6</v>
      </c>
      <c r="K319" s="10">
        <v>243.26145352347899</v>
      </c>
      <c r="M319" s="10">
        <v>2024</v>
      </c>
      <c r="N319" s="10">
        <v>6</v>
      </c>
      <c r="O319" s="10">
        <v>243.08357290236799</v>
      </c>
      <c r="Q319" s="10">
        <v>2024</v>
      </c>
      <c r="R319" s="10">
        <v>6</v>
      </c>
      <c r="S319" s="10">
        <v>242.19195854501001</v>
      </c>
      <c r="U319" s="10">
        <v>2024</v>
      </c>
      <c r="V319" s="10">
        <v>6</v>
      </c>
      <c r="W319" s="10">
        <v>242.570073456145</v>
      </c>
      <c r="AC319" s="10">
        <v>2024</v>
      </c>
      <c r="AD319" s="10">
        <v>6</v>
      </c>
      <c r="AE319" s="10">
        <v>242.08413384165601</v>
      </c>
      <c r="AG319" s="10">
        <v>2024</v>
      </c>
      <c r="AH319" s="10">
        <v>6</v>
      </c>
      <c r="AI319" s="10">
        <v>243.10607067129499</v>
      </c>
      <c r="AK319" s="10">
        <v>2024</v>
      </c>
      <c r="AL319" s="10">
        <v>6</v>
      </c>
      <c r="AM319" s="10">
        <v>244.130942578483</v>
      </c>
      <c r="AO319" s="10">
        <v>2024</v>
      </c>
      <c r="AP319" s="10">
        <v>6</v>
      </c>
      <c r="AQ319" s="10">
        <v>243.94497632681501</v>
      </c>
      <c r="AS319" s="10">
        <v>2024</v>
      </c>
      <c r="AT319" s="10">
        <v>6</v>
      </c>
      <c r="AU319" s="10">
        <v>244.303661400474</v>
      </c>
      <c r="AW319" s="10">
        <v>2024</v>
      </c>
      <c r="AX319" s="10">
        <v>6</v>
      </c>
      <c r="AY319" s="10">
        <v>244.326655903133</v>
      </c>
    </row>
    <row r="320" spans="5:51" x14ac:dyDescent="0.25">
      <c r="E320" s="10">
        <v>2024</v>
      </c>
      <c r="F320" s="10">
        <v>7</v>
      </c>
      <c r="G320" s="10">
        <v>265.29465214195199</v>
      </c>
      <c r="I320" s="10">
        <v>2024</v>
      </c>
      <c r="J320" s="10">
        <v>7</v>
      </c>
      <c r="K320" s="10">
        <v>268.65242519451903</v>
      </c>
      <c r="M320" s="10">
        <v>2024</v>
      </c>
      <c r="N320" s="10">
        <v>7</v>
      </c>
      <c r="O320" s="10">
        <v>267.88521724496002</v>
      </c>
      <c r="Q320" s="10">
        <v>2024</v>
      </c>
      <c r="R320" s="10">
        <v>7</v>
      </c>
      <c r="S320" s="10">
        <v>268.74928857270697</v>
      </c>
      <c r="U320" s="10">
        <v>2024</v>
      </c>
      <c r="V320" s="10">
        <v>7</v>
      </c>
      <c r="W320" s="10">
        <v>267.96090903858499</v>
      </c>
      <c r="AC320" s="10">
        <v>2024</v>
      </c>
      <c r="AD320" s="10">
        <v>7</v>
      </c>
      <c r="AE320" s="10">
        <v>267.86313740344298</v>
      </c>
      <c r="AG320" s="10">
        <v>2024</v>
      </c>
      <c r="AH320" s="10">
        <v>7</v>
      </c>
      <c r="AI320" s="10">
        <v>266.51347000296499</v>
      </c>
      <c r="AK320" s="10">
        <v>2024</v>
      </c>
      <c r="AL320" s="10">
        <v>7</v>
      </c>
      <c r="AM320" s="10">
        <v>266.22536032933601</v>
      </c>
      <c r="AO320" s="10">
        <v>2024</v>
      </c>
      <c r="AP320" s="10">
        <v>7</v>
      </c>
      <c r="AQ320" s="10">
        <v>265.99083590162297</v>
      </c>
      <c r="AS320" s="10">
        <v>2024</v>
      </c>
      <c r="AT320" s="10">
        <v>7</v>
      </c>
      <c r="AU320" s="10">
        <v>265.94063247717702</v>
      </c>
      <c r="AW320" s="10">
        <v>2024</v>
      </c>
      <c r="AX320" s="10">
        <v>7</v>
      </c>
      <c r="AY320" s="10">
        <v>266.05281734959601</v>
      </c>
    </row>
    <row r="321" spans="5:51" x14ac:dyDescent="0.25">
      <c r="E321" s="10">
        <v>2024</v>
      </c>
      <c r="F321" s="10">
        <v>8</v>
      </c>
      <c r="G321" s="10">
        <v>262.10216773356899</v>
      </c>
      <c r="I321" s="10">
        <v>2024</v>
      </c>
      <c r="J321" s="10">
        <v>8</v>
      </c>
      <c r="K321" s="10">
        <v>268.07371127563903</v>
      </c>
      <c r="M321" s="10">
        <v>2024</v>
      </c>
      <c r="N321" s="10">
        <v>8</v>
      </c>
      <c r="O321" s="10">
        <v>266.72381315786402</v>
      </c>
      <c r="Q321" s="10">
        <v>2024</v>
      </c>
      <c r="R321" s="10">
        <v>8</v>
      </c>
      <c r="S321" s="10">
        <v>269.47144874091998</v>
      </c>
      <c r="U321" s="10">
        <v>2024</v>
      </c>
      <c r="V321" s="10">
        <v>8</v>
      </c>
      <c r="W321" s="10">
        <v>269.88323046517303</v>
      </c>
      <c r="AC321" s="10">
        <v>2024</v>
      </c>
      <c r="AD321" s="10">
        <v>8</v>
      </c>
      <c r="AE321" s="10">
        <v>269.89160714811698</v>
      </c>
      <c r="AG321" s="10">
        <v>2024</v>
      </c>
      <c r="AH321" s="10">
        <v>8</v>
      </c>
      <c r="AI321" s="10">
        <v>269.458056297459</v>
      </c>
      <c r="AK321" s="10">
        <v>2024</v>
      </c>
      <c r="AL321" s="10">
        <v>8</v>
      </c>
      <c r="AM321" s="10">
        <v>266.83414313724302</v>
      </c>
      <c r="AO321" s="10">
        <v>2024</v>
      </c>
      <c r="AP321" s="10">
        <v>8</v>
      </c>
      <c r="AQ321" s="10">
        <v>265.65332237069799</v>
      </c>
      <c r="AS321" s="10">
        <v>2024</v>
      </c>
      <c r="AT321" s="10">
        <v>8</v>
      </c>
      <c r="AU321" s="10">
        <v>266.30037429391098</v>
      </c>
      <c r="AW321" s="10">
        <v>2024</v>
      </c>
      <c r="AX321" s="10">
        <v>8</v>
      </c>
      <c r="AY321" s="10">
        <v>266.36489407322199</v>
      </c>
    </row>
    <row r="322" spans="5:51" x14ac:dyDescent="0.25">
      <c r="I322" s="10">
        <v>2024</v>
      </c>
      <c r="J322" s="10">
        <v>9</v>
      </c>
      <c r="K322" s="10">
        <v>276.97468242806201</v>
      </c>
      <c r="M322" s="10">
        <v>2024</v>
      </c>
      <c r="N322" s="10">
        <v>9</v>
      </c>
      <c r="O322" s="10">
        <v>275.96161699512601</v>
      </c>
      <c r="Q322" s="10">
        <v>2024</v>
      </c>
      <c r="R322" s="10">
        <v>9</v>
      </c>
      <c r="S322" s="10">
        <v>276.28919030795402</v>
      </c>
      <c r="U322" s="10">
        <v>2024</v>
      </c>
      <c r="V322" s="10">
        <v>9</v>
      </c>
      <c r="W322" s="10">
        <v>276.01755321471802</v>
      </c>
      <c r="AC322" s="10">
        <v>2024</v>
      </c>
      <c r="AD322" s="10">
        <v>9</v>
      </c>
      <c r="AE322" s="10">
        <v>275.89885202425899</v>
      </c>
      <c r="AG322" s="10">
        <v>2024</v>
      </c>
      <c r="AH322" s="10">
        <v>9</v>
      </c>
      <c r="AI322" s="10">
        <v>275.73478122559601</v>
      </c>
      <c r="AK322" s="10">
        <v>2024</v>
      </c>
      <c r="AL322" s="10">
        <v>9</v>
      </c>
      <c r="AM322" s="10">
        <v>276.88851418770201</v>
      </c>
      <c r="AO322" s="10">
        <v>2024</v>
      </c>
      <c r="AP322" s="10">
        <v>9</v>
      </c>
      <c r="AQ322" s="10">
        <v>276.48842048356403</v>
      </c>
      <c r="AS322" s="10">
        <v>2024</v>
      </c>
      <c r="AT322" s="10">
        <v>9</v>
      </c>
      <c r="AU322" s="10">
        <v>275.73926872463699</v>
      </c>
      <c r="AW322" s="10">
        <v>2024</v>
      </c>
      <c r="AX322" s="10">
        <v>9</v>
      </c>
      <c r="AY322" s="10">
        <v>275.73151296458002</v>
      </c>
    </row>
    <row r="323" spans="5:51" x14ac:dyDescent="0.25">
      <c r="I323" s="10">
        <v>2024</v>
      </c>
      <c r="J323" s="10">
        <v>10</v>
      </c>
      <c r="K323" s="10">
        <v>279.798858568041</v>
      </c>
      <c r="M323" s="10">
        <v>2024</v>
      </c>
      <c r="N323" s="10">
        <v>10</v>
      </c>
      <c r="O323" s="10">
        <v>278.48082078314098</v>
      </c>
      <c r="Q323" s="10">
        <v>2024</v>
      </c>
      <c r="R323" s="10">
        <v>10</v>
      </c>
      <c r="S323" s="10">
        <v>280.32963148406299</v>
      </c>
      <c r="U323" s="10">
        <v>2024</v>
      </c>
      <c r="V323" s="10">
        <v>10</v>
      </c>
      <c r="W323" s="10">
        <v>280.19863840224502</v>
      </c>
      <c r="AC323" s="10">
        <v>2024</v>
      </c>
      <c r="AD323" s="10">
        <v>10</v>
      </c>
      <c r="AE323" s="10">
        <v>280.09503257750401</v>
      </c>
      <c r="AG323" s="10">
        <v>2024</v>
      </c>
      <c r="AH323" s="10">
        <v>10</v>
      </c>
      <c r="AI323" s="10">
        <v>279.91867997503999</v>
      </c>
      <c r="AK323" s="10">
        <v>2024</v>
      </c>
      <c r="AL323" s="10">
        <v>10</v>
      </c>
      <c r="AM323" s="10">
        <v>279.92818262524298</v>
      </c>
      <c r="AO323" s="10">
        <v>2024</v>
      </c>
      <c r="AP323" s="10">
        <v>10</v>
      </c>
      <c r="AQ323" s="10">
        <v>279.396812966798</v>
      </c>
      <c r="AS323" s="10">
        <v>2024</v>
      </c>
      <c r="AT323" s="10">
        <v>10</v>
      </c>
      <c r="AU323" s="10">
        <v>278.26540589488798</v>
      </c>
      <c r="AW323" s="10">
        <v>2024</v>
      </c>
      <c r="AX323" s="10">
        <v>10</v>
      </c>
      <c r="AY323" s="10">
        <v>278.16428552488298</v>
      </c>
    </row>
    <row r="324" spans="5:51" x14ac:dyDescent="0.25">
      <c r="M324" s="10">
        <v>2024</v>
      </c>
      <c r="N324" s="10">
        <v>11</v>
      </c>
      <c r="O324" s="10">
        <v>266.02433938751898</v>
      </c>
      <c r="Q324" s="10">
        <v>2024</v>
      </c>
      <c r="R324" s="10">
        <v>11</v>
      </c>
      <c r="S324" s="10">
        <v>267.67481307030903</v>
      </c>
      <c r="U324" s="10">
        <v>2024</v>
      </c>
      <c r="V324" s="10">
        <v>11</v>
      </c>
      <c r="W324" s="10">
        <v>267.78981804249401</v>
      </c>
      <c r="AC324" s="10">
        <v>2024</v>
      </c>
      <c r="AD324" s="10">
        <v>11</v>
      </c>
      <c r="AE324" s="10">
        <v>267.69151344847802</v>
      </c>
      <c r="AG324" s="10">
        <v>2024</v>
      </c>
      <c r="AH324" s="10">
        <v>11</v>
      </c>
      <c r="AI324" s="10">
        <v>267.64667075612402</v>
      </c>
      <c r="AK324" s="10">
        <v>2024</v>
      </c>
      <c r="AL324" s="10">
        <v>11</v>
      </c>
      <c r="AM324" s="10">
        <v>267.95672781318001</v>
      </c>
      <c r="AO324" s="10">
        <v>2024</v>
      </c>
      <c r="AP324" s="10">
        <v>11</v>
      </c>
      <c r="AQ324" s="10">
        <v>269.27642934269602</v>
      </c>
      <c r="AS324" s="10">
        <v>2024</v>
      </c>
      <c r="AT324" s="10">
        <v>11</v>
      </c>
      <c r="AU324" s="10">
        <v>267.36348487836102</v>
      </c>
      <c r="AW324" s="10">
        <v>2024</v>
      </c>
      <c r="AX324" s="10">
        <v>11</v>
      </c>
      <c r="AY324" s="10">
        <v>267.14727026208999</v>
      </c>
    </row>
    <row r="325" spans="5:51" x14ac:dyDescent="0.25">
      <c r="Q325" s="10">
        <v>2024</v>
      </c>
      <c r="R325" s="10">
        <v>12</v>
      </c>
      <c r="S325" s="10">
        <v>276.838422836625</v>
      </c>
      <c r="U325" s="10">
        <v>2024</v>
      </c>
      <c r="V325" s="10">
        <v>12</v>
      </c>
      <c r="W325" s="10">
        <v>277.66676668339397</v>
      </c>
      <c r="AC325" s="10">
        <v>2024</v>
      </c>
      <c r="AD325" s="10">
        <v>12</v>
      </c>
      <c r="AE325" s="10">
        <v>277.77629151943501</v>
      </c>
      <c r="AG325" s="10">
        <v>2024</v>
      </c>
      <c r="AH325" s="10">
        <v>12</v>
      </c>
      <c r="AI325" s="10">
        <v>277.55215803973198</v>
      </c>
      <c r="AK325" s="10">
        <v>2024</v>
      </c>
      <c r="AL325" s="10">
        <v>12</v>
      </c>
      <c r="AM325" s="10">
        <v>277.70071637739198</v>
      </c>
      <c r="AO325" s="10">
        <v>2024</v>
      </c>
      <c r="AP325" s="10">
        <v>12</v>
      </c>
      <c r="AQ325" s="10">
        <v>277.84964871999898</v>
      </c>
      <c r="AS325" s="10">
        <v>2024</v>
      </c>
      <c r="AT325" s="10">
        <v>12</v>
      </c>
      <c r="AU325" s="10">
        <v>278.69015741633399</v>
      </c>
      <c r="AW325" s="10">
        <v>2024</v>
      </c>
      <c r="AX325" s="10">
        <v>12</v>
      </c>
      <c r="AY325" s="10">
        <v>278.33277454432198</v>
      </c>
    </row>
    <row r="326" spans="5:51" x14ac:dyDescent="0.25">
      <c r="Q326" s="10">
        <v>2025</v>
      </c>
      <c r="R326" s="10">
        <v>1</v>
      </c>
      <c r="S326" s="10">
        <v>262.21995767534702</v>
      </c>
      <c r="U326" s="10">
        <v>2025</v>
      </c>
      <c r="V326" s="10">
        <v>1</v>
      </c>
      <c r="W326" s="10">
        <v>262.99775305701399</v>
      </c>
      <c r="AC326" s="10">
        <v>2025</v>
      </c>
      <c r="AD326" s="10">
        <v>1</v>
      </c>
      <c r="AE326" s="10">
        <v>263.29284847127201</v>
      </c>
      <c r="AG326" s="10">
        <v>2025</v>
      </c>
      <c r="AH326" s="10">
        <v>1</v>
      </c>
      <c r="AI326" s="10">
        <v>263.18344121242598</v>
      </c>
      <c r="AK326" s="10">
        <v>2025</v>
      </c>
      <c r="AL326" s="10">
        <v>1</v>
      </c>
      <c r="AM326" s="10">
        <v>263.51594377175098</v>
      </c>
      <c r="AO326" s="10">
        <v>2025</v>
      </c>
      <c r="AP326" s="10">
        <v>1</v>
      </c>
      <c r="AQ326" s="10">
        <v>264.109850844015</v>
      </c>
      <c r="AS326" s="10">
        <v>2025</v>
      </c>
      <c r="AT326" s="10">
        <v>1</v>
      </c>
      <c r="AU326" s="10">
        <v>265.29904375971398</v>
      </c>
      <c r="AW326" s="10">
        <v>2025</v>
      </c>
      <c r="AX326" s="10">
        <v>1</v>
      </c>
      <c r="AY326" s="10">
        <v>264.73030968973097</v>
      </c>
    </row>
    <row r="327" spans="5:51" x14ac:dyDescent="0.25">
      <c r="Q327" s="10">
        <v>2025</v>
      </c>
      <c r="R327" s="10">
        <v>2</v>
      </c>
      <c r="S327" s="10">
        <v>258.29815231021001</v>
      </c>
      <c r="U327" s="10">
        <v>2025</v>
      </c>
      <c r="V327" s="10">
        <v>2</v>
      </c>
      <c r="W327" s="10">
        <v>260.23185077300701</v>
      </c>
      <c r="AC327" s="10">
        <v>2025</v>
      </c>
      <c r="AD327" s="10">
        <v>2</v>
      </c>
      <c r="AE327" s="10">
        <v>260.59128930542499</v>
      </c>
      <c r="AG327" s="10">
        <v>2025</v>
      </c>
      <c r="AH327" s="10">
        <v>2</v>
      </c>
      <c r="AI327" s="10">
        <v>260.63338730720102</v>
      </c>
      <c r="AK327" s="10">
        <v>2025</v>
      </c>
      <c r="AL327" s="10">
        <v>2</v>
      </c>
      <c r="AM327" s="10">
        <v>260.91402477090003</v>
      </c>
      <c r="AO327" s="10">
        <v>2025</v>
      </c>
      <c r="AP327" s="10">
        <v>2</v>
      </c>
      <c r="AQ327" s="10">
        <v>261.12709479454298</v>
      </c>
      <c r="AS327" s="10">
        <v>2025</v>
      </c>
      <c r="AT327" s="10">
        <v>2</v>
      </c>
      <c r="AU327" s="10">
        <v>261.83185565584103</v>
      </c>
      <c r="AW327" s="10">
        <v>2025</v>
      </c>
      <c r="AX327" s="10">
        <v>2</v>
      </c>
      <c r="AY327" s="10">
        <v>262.59188385389302</v>
      </c>
    </row>
    <row r="328" spans="5:51" x14ac:dyDescent="0.25">
      <c r="Q328" s="10">
        <v>2025</v>
      </c>
      <c r="R328" s="10">
        <v>3</v>
      </c>
      <c r="S328" s="10">
        <v>246.738603176683</v>
      </c>
      <c r="U328" s="10">
        <v>2025</v>
      </c>
      <c r="V328" s="10">
        <v>3</v>
      </c>
      <c r="W328" s="10">
        <v>246.73514718194701</v>
      </c>
      <c r="AC328" s="10">
        <v>2025</v>
      </c>
      <c r="AD328" s="10">
        <v>3</v>
      </c>
      <c r="AE328" s="10">
        <v>245.624235109989</v>
      </c>
      <c r="AG328" s="10">
        <v>2025</v>
      </c>
      <c r="AH328" s="10">
        <v>3</v>
      </c>
      <c r="AI328" s="10">
        <v>245.96439973387501</v>
      </c>
      <c r="AK328" s="10">
        <v>2025</v>
      </c>
      <c r="AL328" s="10">
        <v>3</v>
      </c>
      <c r="AM328" s="10">
        <v>245.672822367012</v>
      </c>
      <c r="AO328" s="10">
        <v>2025</v>
      </c>
      <c r="AP328" s="10">
        <v>3</v>
      </c>
      <c r="AQ328" s="10">
        <v>245.780875394009</v>
      </c>
      <c r="AS328" s="10">
        <v>2025</v>
      </c>
      <c r="AT328" s="10">
        <v>3</v>
      </c>
      <c r="AU328" s="10">
        <v>245.73355979825001</v>
      </c>
      <c r="AW328" s="10">
        <v>2025</v>
      </c>
      <c r="AX328" s="10">
        <v>3</v>
      </c>
      <c r="AY328" s="10">
        <v>245.80015601195799</v>
      </c>
    </row>
    <row r="329" spans="5:51" x14ac:dyDescent="0.25">
      <c r="U329" s="10">
        <v>2025</v>
      </c>
      <c r="V329" s="10">
        <v>4</v>
      </c>
      <c r="W329" s="10">
        <v>265.82860184392501</v>
      </c>
      <c r="AC329" s="10">
        <v>2025</v>
      </c>
      <c r="AD329" s="10">
        <v>4</v>
      </c>
      <c r="AE329" s="10">
        <v>266.166173026683</v>
      </c>
      <c r="AG329" s="10">
        <v>2025</v>
      </c>
      <c r="AH329" s="10">
        <v>4</v>
      </c>
      <c r="AI329" s="10">
        <v>266.59508525034897</v>
      </c>
      <c r="AK329" s="10">
        <v>2025</v>
      </c>
      <c r="AL329" s="10">
        <v>4</v>
      </c>
      <c r="AM329" s="10">
        <v>266.83139076195198</v>
      </c>
      <c r="AO329" s="10">
        <v>2025</v>
      </c>
      <c r="AP329" s="10">
        <v>4</v>
      </c>
      <c r="AQ329" s="10">
        <v>266.92352001118502</v>
      </c>
      <c r="AS329" s="10">
        <v>2025</v>
      </c>
      <c r="AT329" s="10">
        <v>4</v>
      </c>
      <c r="AU329" s="10">
        <v>267.21587095505299</v>
      </c>
      <c r="AW329" s="10">
        <v>2025</v>
      </c>
      <c r="AX329" s="10">
        <v>4</v>
      </c>
      <c r="AY329" s="10">
        <v>267.399287466651</v>
      </c>
    </row>
    <row r="330" spans="5:51" x14ac:dyDescent="0.25">
      <c r="AC330" s="10">
        <v>2025</v>
      </c>
      <c r="AD330" s="10">
        <v>5</v>
      </c>
      <c r="AE330" s="10">
        <v>259.723646723809</v>
      </c>
      <c r="AG330" s="10">
        <v>2025</v>
      </c>
      <c r="AH330" s="10">
        <v>5</v>
      </c>
      <c r="AI330" s="10">
        <v>260.39592695767902</v>
      </c>
      <c r="AK330" s="10">
        <v>2025</v>
      </c>
      <c r="AL330" s="10">
        <v>5</v>
      </c>
      <c r="AM330" s="10">
        <v>260.18906546631001</v>
      </c>
      <c r="AO330" s="10">
        <v>2025</v>
      </c>
      <c r="AP330" s="10">
        <v>5</v>
      </c>
      <c r="AQ330" s="10">
        <v>260.39435546697501</v>
      </c>
      <c r="AS330" s="10">
        <v>2025</v>
      </c>
      <c r="AT330" s="10">
        <v>5</v>
      </c>
      <c r="AU330" s="10">
        <v>260.57990603710903</v>
      </c>
      <c r="AW330" s="10">
        <v>2025</v>
      </c>
      <c r="AX330" s="10">
        <v>5</v>
      </c>
      <c r="AY330" s="10">
        <v>260.70826736916501</v>
      </c>
    </row>
    <row r="331" spans="5:51" x14ac:dyDescent="0.25">
      <c r="AC331" s="10">
        <v>2025</v>
      </c>
      <c r="AD331" s="10">
        <v>6</v>
      </c>
      <c r="AE331" s="10">
        <v>260.77527384772901</v>
      </c>
      <c r="AG331" s="10">
        <v>2025</v>
      </c>
      <c r="AH331" s="10">
        <v>6</v>
      </c>
      <c r="AI331" s="10">
        <v>261.84552480953198</v>
      </c>
      <c r="AK331" s="10">
        <v>2025</v>
      </c>
      <c r="AL331" s="10">
        <v>6</v>
      </c>
      <c r="AM331" s="10">
        <v>263.11191273416802</v>
      </c>
      <c r="AO331" s="10">
        <v>2025</v>
      </c>
      <c r="AP331" s="10">
        <v>6</v>
      </c>
      <c r="AQ331" s="10">
        <v>262.73609608111298</v>
      </c>
      <c r="AS331" s="10">
        <v>2025</v>
      </c>
      <c r="AT331" s="10">
        <v>6</v>
      </c>
      <c r="AU331" s="10">
        <v>263.28184247131901</v>
      </c>
      <c r="AW331" s="10">
        <v>2025</v>
      </c>
      <c r="AX331" s="10">
        <v>6</v>
      </c>
      <c r="AY331" s="10">
        <v>263.30795223778699</v>
      </c>
    </row>
    <row r="332" spans="5:51" x14ac:dyDescent="0.25">
      <c r="AG332" s="10">
        <v>2025</v>
      </c>
      <c r="AH332" s="10">
        <v>7</v>
      </c>
      <c r="AI332" s="10">
        <v>266.037780787592</v>
      </c>
      <c r="AK332" s="10">
        <v>2025</v>
      </c>
      <c r="AL332" s="10">
        <v>7</v>
      </c>
      <c r="AM332" s="10">
        <v>265.81981972252601</v>
      </c>
      <c r="AO332" s="10">
        <v>2025</v>
      </c>
      <c r="AP332" s="10">
        <v>7</v>
      </c>
      <c r="AQ332" s="10">
        <v>265.520508623811</v>
      </c>
      <c r="AS332" s="10">
        <v>2025</v>
      </c>
      <c r="AT332" s="10">
        <v>7</v>
      </c>
      <c r="AU332" s="10">
        <v>265.47483149936897</v>
      </c>
      <c r="AW332" s="10">
        <v>2025</v>
      </c>
      <c r="AX332" s="10">
        <v>7</v>
      </c>
      <c r="AY332" s="10">
        <v>265.59651313515297</v>
      </c>
    </row>
    <row r="333" spans="5:51" x14ac:dyDescent="0.25">
      <c r="AK333" s="10">
        <v>2025</v>
      </c>
      <c r="AL333" s="10">
        <v>8</v>
      </c>
      <c r="AM333" s="10">
        <v>266.98573665594898</v>
      </c>
      <c r="AO333" s="10">
        <v>2025</v>
      </c>
      <c r="AP333" s="10">
        <v>8</v>
      </c>
      <c r="AQ333" s="10">
        <v>265.91917850388199</v>
      </c>
      <c r="AS333" s="10">
        <v>2025</v>
      </c>
      <c r="AT333" s="10">
        <v>8</v>
      </c>
      <c r="AU333" s="10">
        <v>266.33553442734001</v>
      </c>
      <c r="AW333" s="10">
        <v>2025</v>
      </c>
      <c r="AX333" s="10">
        <v>8</v>
      </c>
      <c r="AY333" s="10">
        <v>266.395970248342</v>
      </c>
    </row>
    <row r="334" spans="5:51" x14ac:dyDescent="0.25">
      <c r="AK334" s="10">
        <v>2025</v>
      </c>
      <c r="AL334" s="10">
        <v>9</v>
      </c>
      <c r="AM334" s="10">
        <v>260.52915249332602</v>
      </c>
      <c r="AO334" s="10">
        <v>2025</v>
      </c>
      <c r="AP334" s="10">
        <v>9</v>
      </c>
      <c r="AQ334" s="10">
        <v>260.04376629959802</v>
      </c>
      <c r="AS334" s="10">
        <v>2025</v>
      </c>
      <c r="AT334" s="10">
        <v>9</v>
      </c>
      <c r="AU334" s="10">
        <v>259.21332148366901</v>
      </c>
      <c r="AW334" s="10">
        <v>2025</v>
      </c>
      <c r="AX334" s="10">
        <v>9</v>
      </c>
      <c r="AY334" s="10">
        <v>259.17432380521802</v>
      </c>
    </row>
    <row r="335" spans="5:51" x14ac:dyDescent="0.25">
      <c r="AK335" s="10">
        <v>2025</v>
      </c>
      <c r="AL335" s="10">
        <v>10</v>
      </c>
      <c r="AM335" s="10">
        <v>264.61759742640902</v>
      </c>
      <c r="AO335" s="10">
        <v>2025</v>
      </c>
      <c r="AP335" s="10">
        <v>10</v>
      </c>
      <c r="AQ335" s="10">
        <v>264.12072839970301</v>
      </c>
      <c r="AS335" s="10">
        <v>2025</v>
      </c>
      <c r="AT335" s="10">
        <v>10</v>
      </c>
      <c r="AU335" s="10">
        <v>262.76629687636802</v>
      </c>
      <c r="AW335" s="10">
        <v>2025</v>
      </c>
      <c r="AX335" s="10">
        <v>10</v>
      </c>
      <c r="AY335" s="10">
        <v>262.62758252579698</v>
      </c>
    </row>
    <row r="336" spans="5:51" x14ac:dyDescent="0.25">
      <c r="AO336" s="10">
        <v>2025</v>
      </c>
      <c r="AP336" s="10">
        <v>11</v>
      </c>
      <c r="AQ336" s="10">
        <v>260.117313118472</v>
      </c>
      <c r="AS336" s="10">
        <v>2025</v>
      </c>
      <c r="AT336" s="10">
        <v>11</v>
      </c>
      <c r="AU336" s="10">
        <v>257.83357849150298</v>
      </c>
      <c r="AW336" s="10">
        <v>2025</v>
      </c>
      <c r="AX336" s="10">
        <v>11</v>
      </c>
      <c r="AY336" s="10">
        <v>257.567032369777</v>
      </c>
    </row>
    <row r="337" spans="45:51" x14ac:dyDescent="0.25">
      <c r="AS337" s="10">
        <v>2025</v>
      </c>
      <c r="AT337" s="10">
        <v>12</v>
      </c>
      <c r="AU337" s="10">
        <v>250.2133363307</v>
      </c>
      <c r="AW337" s="10">
        <v>2025</v>
      </c>
      <c r="AX337" s="10">
        <v>12</v>
      </c>
      <c r="AY337" s="10">
        <v>249.76228591212401</v>
      </c>
    </row>
    <row r="338" spans="45:51" x14ac:dyDescent="0.25">
      <c r="AS338" s="10">
        <v>2026</v>
      </c>
      <c r="AT338" s="10">
        <v>1</v>
      </c>
      <c r="AU338" s="10">
        <v>247.70771479558601</v>
      </c>
      <c r="AW338" s="10">
        <v>2026</v>
      </c>
      <c r="AX338" s="10">
        <v>1</v>
      </c>
      <c r="AY338" s="10">
        <v>247.01790466109301</v>
      </c>
    </row>
    <row r="339" spans="45:51" x14ac:dyDescent="0.25">
      <c r="AW339" s="10">
        <v>2026</v>
      </c>
      <c r="AX339" s="10">
        <v>2</v>
      </c>
      <c r="AY339" s="10">
        <v>245.06128799472501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2</vt:i4>
      </vt:variant>
    </vt:vector>
  </HeadingPairs>
  <TitlesOfParts>
    <vt:vector size="8" baseType="lpstr">
      <vt:lpstr>Hoja1</vt:lpstr>
      <vt:lpstr>Hoja6</vt:lpstr>
      <vt:lpstr>Hoja5</vt:lpstr>
      <vt:lpstr>Hoja4</vt:lpstr>
      <vt:lpstr>Hoja3</vt:lpstr>
      <vt:lpstr>Hoja2</vt:lpstr>
      <vt:lpstr>Gráfico1 (2)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dcterms:created xsi:type="dcterms:W3CDTF">2019-02-18T14:20:37Z</dcterms:created>
  <dcterms:modified xsi:type="dcterms:W3CDTF">2026-06-22T20:28:29Z</dcterms:modified>
</cp:coreProperties>
</file>